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usuf5\Downloads\"/>
    </mc:Choice>
  </mc:AlternateContent>
  <xr:revisionPtr revIDLastSave="0" documentId="13_ncr:1_{1DB9FAD5-C998-4129-95BC-2BD572124D36}" xr6:coauthVersionLast="47" xr6:coauthVersionMax="47" xr10:uidLastSave="{00000000-0000-0000-0000-000000000000}"/>
  <bookViews>
    <workbookView xWindow="1875" yWindow="2805" windowWidth="21600" windowHeight="12645" activeTab="5" xr2:uid="{C379C434-0E1F-427E-8269-0E4492FC9328}"/>
  </bookViews>
  <sheets>
    <sheet name="MasterData" sheetId="5" r:id="rId1"/>
    <sheet name="ActiveMD" sheetId="6" r:id="rId2"/>
    <sheet name="interactions data sharing" sheetId="4" r:id="rId3"/>
    <sheet name="Sheet10" sheetId="11" r:id="rId4"/>
    <sheet name="Sheet6" sheetId="7" r:id="rId5"/>
    <sheet name="Sheet8" sheetId="9" r:id="rId6"/>
    <sheet name="PIC" sheetId="10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9" l="1"/>
  <c r="D33" i="9"/>
  <c r="D32" i="9"/>
  <c r="D31" i="9"/>
  <c r="D30" i="9"/>
  <c r="D28" i="9"/>
  <c r="D27" i="9"/>
  <c r="D26" i="9"/>
  <c r="D25" i="9"/>
  <c r="D24" i="9"/>
  <c r="D23" i="9"/>
  <c r="D21" i="9"/>
  <c r="D20" i="9"/>
  <c r="D19" i="9"/>
  <c r="D18" i="9"/>
  <c r="D17" i="9"/>
  <c r="D16" i="9"/>
  <c r="D15" i="9"/>
  <c r="D14" i="9"/>
  <c r="D13" i="9"/>
  <c r="D12" i="9"/>
  <c r="D10" i="9"/>
  <c r="D9" i="9"/>
  <c r="D8" i="9"/>
  <c r="D7" i="9"/>
  <c r="D6" i="9"/>
  <c r="D5" i="9"/>
  <c r="D4" i="9"/>
  <c r="D3" i="9"/>
  <c r="D2" i="9"/>
  <c r="J2" i="11" a="1"/>
  <c r="J2" i="11" s="1"/>
  <c r="E20" i="4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2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2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F44" i="4" s="1"/>
  <c r="F43" i="4" l="1"/>
  <c r="F29" i="4"/>
  <c r="F20" i="4"/>
  <c r="F30" i="4"/>
  <c r="F16" i="4"/>
  <c r="F11" i="4"/>
  <c r="F10" i="4"/>
  <c r="F23" i="4"/>
  <c r="F36" i="4"/>
  <c r="F21" i="4"/>
  <c r="F7" i="4"/>
  <c r="F34" i="4"/>
  <c r="F6" i="4"/>
  <c r="F24" i="4"/>
  <c r="F19" i="4"/>
  <c r="F9" i="4"/>
  <c r="F32" i="4"/>
  <c r="F18" i="4"/>
  <c r="F4" i="4"/>
  <c r="F37" i="4"/>
  <c r="F31" i="4"/>
  <c r="F17" i="4"/>
  <c r="F39" i="4"/>
  <c r="F26" i="4"/>
  <c r="F41" i="4"/>
  <c r="F27" i="4"/>
  <c r="F40" i="4"/>
  <c r="F15" i="4"/>
  <c r="F42" i="4"/>
  <c r="F3" i="4"/>
  <c r="F38" i="4"/>
  <c r="F5" i="4"/>
  <c r="F2" i="4"/>
  <c r="F13" i="4"/>
  <c r="F8" i="4"/>
  <c r="F35" i="4"/>
  <c r="F33" i="4"/>
  <c r="F28" i="4"/>
  <c r="F14" i="4"/>
  <c r="F12" i="4"/>
  <c r="F25" i="4"/>
  <c r="F2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tc={303077B9-B7F7-46EE-B7B0-9CEBA13ED8E3}</author>
  </authors>
  <commentList>
    <comment ref="C10" authorId="0" shapeId="0" xr:uid="{303077B9-B7F7-46EE-B7B0-9CEBA13ED8E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change into XDB62269 according to DPaaS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<sst xmlns="http://schemas.openxmlformats.org/spreadsheetml/2006/main" count="3691" uniqueCount="1286">
  <si>
    <t>UA</t>
  </si>
  <si>
    <t>FU70038</t>
  </si>
  <si>
    <t>NJ29393</t>
  </si>
  <si>
    <t>AM</t>
  </si>
  <si>
    <t>MZ13437</t>
  </si>
  <si>
    <t>YT41145</t>
  </si>
  <si>
    <t>AU</t>
  </si>
  <si>
    <t>UX99591</t>
  </si>
  <si>
    <t>BG</t>
  </si>
  <si>
    <t>JX90695</t>
  </si>
  <si>
    <t>NV50168</t>
  </si>
  <si>
    <t>XP62606</t>
  </si>
  <si>
    <t>CY</t>
  </si>
  <si>
    <t>US15333</t>
  </si>
  <si>
    <t>EA17288</t>
  </si>
  <si>
    <t>EE</t>
  </si>
  <si>
    <t>UJ12390</t>
  </si>
  <si>
    <t>GE</t>
  </si>
  <si>
    <t>PO26476</t>
  </si>
  <si>
    <t>GR</t>
  </si>
  <si>
    <t>KQ46976</t>
  </si>
  <si>
    <t>HR</t>
  </si>
  <si>
    <t>TX15762</t>
  </si>
  <si>
    <t>HU</t>
  </si>
  <si>
    <t>WN52114</t>
  </si>
  <si>
    <t>IL</t>
  </si>
  <si>
    <t>RP81237</t>
  </si>
  <si>
    <t>IQ</t>
  </si>
  <si>
    <t>KM45799</t>
  </si>
  <si>
    <t>KH</t>
  </si>
  <si>
    <t>VP63759</t>
  </si>
  <si>
    <t>KR</t>
  </si>
  <si>
    <t>LE90284</t>
  </si>
  <si>
    <t>KZ</t>
  </si>
  <si>
    <t>ZC94311</t>
  </si>
  <si>
    <t>LT</t>
  </si>
  <si>
    <t>YQ71574</t>
  </si>
  <si>
    <t>LU</t>
  </si>
  <si>
    <t>KC62702</t>
  </si>
  <si>
    <t>LV</t>
  </si>
  <si>
    <t>TJ20300</t>
  </si>
  <si>
    <t>GT52354</t>
  </si>
  <si>
    <t>MD</t>
  </si>
  <si>
    <t>TE25998</t>
  </si>
  <si>
    <t>JC24096</t>
  </si>
  <si>
    <t>RS</t>
  </si>
  <si>
    <t>TR</t>
  </si>
  <si>
    <t>OD54613</t>
  </si>
  <si>
    <t>TW</t>
  </si>
  <si>
    <t>AT</t>
  </si>
  <si>
    <t>TQ34613</t>
  </si>
  <si>
    <t>JP13634</t>
  </si>
  <si>
    <t>NB65125</t>
  </si>
  <si>
    <t>MU28789</t>
  </si>
  <si>
    <t>SR12280</t>
  </si>
  <si>
    <t>SW91921</t>
  </si>
  <si>
    <t>ZR99368</t>
  </si>
  <si>
    <t>MN17341</t>
  </si>
  <si>
    <t>AW40842</t>
  </si>
  <si>
    <t>KG15403</t>
  </si>
  <si>
    <t>LS15602</t>
  </si>
  <si>
    <t>AL36445</t>
  </si>
  <si>
    <t>BV97446</t>
  </si>
  <si>
    <t>TB87741</t>
  </si>
  <si>
    <t>QS39772</t>
  </si>
  <si>
    <t>PT</t>
  </si>
  <si>
    <t>JP</t>
  </si>
  <si>
    <t>MX</t>
  </si>
  <si>
    <t>PK</t>
  </si>
  <si>
    <t>ID</t>
  </si>
  <si>
    <t>AZ</t>
  </si>
  <si>
    <t>CZSK</t>
  </si>
  <si>
    <t>PH</t>
  </si>
  <si>
    <t>CMY</t>
  </si>
  <si>
    <t>UK</t>
  </si>
  <si>
    <t>DE</t>
  </si>
  <si>
    <t>FR</t>
  </si>
  <si>
    <t>Vanuatu</t>
  </si>
  <si>
    <t>Portugal</t>
  </si>
  <si>
    <t>Andorra</t>
  </si>
  <si>
    <t>Taiwan</t>
  </si>
  <si>
    <t>Armenia</t>
  </si>
  <si>
    <t>Morocco</t>
  </si>
  <si>
    <t>Austria</t>
  </si>
  <si>
    <t>Dominican Republic</t>
  </si>
  <si>
    <t>Finland</t>
  </si>
  <si>
    <t>Japan</t>
  </si>
  <si>
    <t>Azerbaijan</t>
  </si>
  <si>
    <t>USA</t>
  </si>
  <si>
    <t>Slovenia</t>
  </si>
  <si>
    <t>Republic of Kosovo</t>
  </si>
  <si>
    <t>Luxembourg</t>
  </si>
  <si>
    <t>Croatia</t>
  </si>
  <si>
    <t>Mexico</t>
  </si>
  <si>
    <t>Pakistan</t>
  </si>
  <si>
    <t>Jordan</t>
  </si>
  <si>
    <t>Czech Republic</t>
  </si>
  <si>
    <t>Belgium</t>
  </si>
  <si>
    <t>Indonesia</t>
  </si>
  <si>
    <t>Philippines</t>
  </si>
  <si>
    <t>Egypt</t>
  </si>
  <si>
    <t>Malaysia</t>
  </si>
  <si>
    <t>Libya</t>
  </si>
  <si>
    <t>Bhutan</t>
  </si>
  <si>
    <t>Ecuador</t>
  </si>
  <si>
    <t>Iraq</t>
  </si>
  <si>
    <t>United Kingdom</t>
  </si>
  <si>
    <t>Guatemala</t>
  </si>
  <si>
    <t>Malta</t>
  </si>
  <si>
    <t>Palestine</t>
  </si>
  <si>
    <t>Maldives</t>
  </si>
  <si>
    <t>Germany</t>
  </si>
  <si>
    <t>South Africa</t>
  </si>
  <si>
    <t>Costa Rica</t>
  </si>
  <si>
    <t>Tunisia</t>
  </si>
  <si>
    <t>United Arab Emirates</t>
  </si>
  <si>
    <t>France</t>
  </si>
  <si>
    <t>Slovakia</t>
  </si>
  <si>
    <t>Kyrgyzstan</t>
  </si>
  <si>
    <t>Reunion</t>
  </si>
  <si>
    <t>https://aw40842.eu-west-1.snowflakecomputing.com</t>
  </si>
  <si>
    <t>https://pmi-pmi_id.snowflakecomputing.com</t>
  </si>
  <si>
    <t>GEO</t>
  </si>
  <si>
    <t>market</t>
  </si>
  <si>
    <t>One Market</t>
  </si>
  <si>
    <t>old</t>
  </si>
  <si>
    <t>Upgrade planned Q1 2026</t>
  </si>
  <si>
    <t>LX04339</t>
  </si>
  <si>
    <t>Snowflake PMI_ID</t>
  </si>
  <si>
    <t>60636c8a-6b2a-4e5f-9517-20d22458d6de</t>
  </si>
  <si>
    <t>Thailand</t>
  </si>
  <si>
    <t>TH</t>
  </si>
  <si>
    <t>https://gb06260.eu-west-1.snowflakecomputing.com</t>
  </si>
  <si>
    <t>https://pmi-pmi_th.snowflakecomputing.com</t>
  </si>
  <si>
    <t>GB06260</t>
  </si>
  <si>
    <t>Upgrade planned Q2 2026</t>
  </si>
  <si>
    <t>LX05920</t>
  </si>
  <si>
    <t>Snowflake PMI_TH</t>
  </si>
  <si>
    <t>b5e39e09-a307-4d84-8df5-68c303ca5b3f</t>
  </si>
  <si>
    <t>Spain</t>
  </si>
  <si>
    <t>ES</t>
  </si>
  <si>
    <t>https://hd52969.eu-west-1.snowflakecomputing.com</t>
  </si>
  <si>
    <t>https://pmi-pmi_es.snowflakecomputing.com</t>
  </si>
  <si>
    <t>HD52969</t>
  </si>
  <si>
    <t>Cluster Market</t>
  </si>
  <si>
    <t>Spain Mainland, Andorra, Canary Islands</t>
  </si>
  <si>
    <t>LX06280</t>
  </si>
  <si>
    <t>Snowflake PMI_ES</t>
  </si>
  <si>
    <t>567f088e-3732-486c-bfd6-b3a97264536d</t>
  </si>
  <si>
    <t>https://qs39772.eu-west-1.snowflakecomputing.com</t>
  </si>
  <si>
    <t>https://pmi-pmi_pt.snowflakecomputing.com</t>
  </si>
  <si>
    <t> One Market</t>
  </si>
  <si>
    <t>new</t>
  </si>
  <si>
    <t>Portugal, Azores, Madeira</t>
  </si>
  <si>
    <t>Upgrade planned Q2</t>
  </si>
  <si>
    <t>LX06001</t>
  </si>
  <si>
    <t>Snowflake PMI_PT</t>
  </si>
  <si>
    <t>54b1f298-2120-4195-bc36-a9d80bd9062f</t>
  </si>
  <si>
    <t>Greece</t>
  </si>
  <si>
    <t>https://kq46976.eu-west-1.snowflakecomputing.com</t>
  </si>
  <si>
    <t>https://pmi-pmi_gr.snowflakecomputing.com</t>
  </si>
  <si>
    <t>LX06266</t>
  </si>
  <si>
    <t>Snowflake PMI_GR</t>
  </si>
  <si>
    <t>e3a2bd83-bd6b-4659-9db1-79c607514bc4</t>
  </si>
  <si>
    <t>Cyprus</t>
  </si>
  <si>
    <t>https://us15333.eu-west-1.snowflakecomputing.com</t>
  </si>
  <si>
    <t>https://pmi-pmi_cy.snowflakecomputing.com</t>
  </si>
  <si>
    <t>Upgrade planned Q3</t>
  </si>
  <si>
    <t>LX06265</t>
  </si>
  <si>
    <t>Snowflake PMI_CY</t>
  </si>
  <si>
    <t>b4cf3227-000d-4e7e-995e-d40a8a1589e5</t>
  </si>
  <si>
    <t>IDD (Function)</t>
  </si>
  <si>
    <t>IDD</t>
  </si>
  <si>
    <t>https://ns74854.eu-west-1.snowflakecomputing.com</t>
  </si>
  <si>
    <t>https://pmi-pmi_idd.snowflakecomputing.com</t>
  </si>
  <si>
    <t>NS74854</t>
  </si>
  <si>
    <t>FUNC</t>
  </si>
  <si>
    <t>quality</t>
  </si>
  <si>
    <t> Functional</t>
  </si>
  <si>
    <t>LX07466</t>
  </si>
  <si>
    <t>Snowflake PMI_IDD</t>
  </si>
  <si>
    <t>685393a1-f698-419e-9005-6675e627301c</t>
  </si>
  <si>
    <t>Switzerland</t>
  </si>
  <si>
    <t>CH</t>
  </si>
  <si>
    <t>https://lq63147.eu-west-1.snowflakecomputing.com</t>
  </si>
  <si>
    <t>https://pmi-pmi_ch.snowflakecomputing.com</t>
  </si>
  <si>
    <t>LQ63147</t>
  </si>
  <si>
    <t>  One Market</t>
  </si>
  <si>
    <t>LX06264</t>
  </si>
  <si>
    <t>Snowflake PMI_CH</t>
  </si>
  <si>
    <t>3be97f19-9bb1-4ec2-a25e-7c78ea5641a7</t>
  </si>
  <si>
    <t>Eastern Europe</t>
  </si>
  <si>
    <t>https://uj12390.eu-west-1.snowflakecomputing.com</t>
  </si>
  <si>
    <t>https://pmi-pmi_ee.snowflakecomputing.com</t>
  </si>
  <si>
    <t>Cluster Market </t>
  </si>
  <si>
    <t>LX05220</t>
  </si>
  <si>
    <t>Snowflake PMI_EE</t>
  </si>
  <si>
    <t>4594d452-1cac-4e1a-9d79-8e215693df8d</t>
  </si>
  <si>
    <t>EG</t>
  </si>
  <si>
    <t>https://km45799.eu-west-1.snowflakecomputing.com</t>
  </si>
  <si>
    <t>https://pmi-pmi_eg.snowflakecomputing.com</t>
  </si>
  <si>
    <t>   One Market</t>
  </si>
  <si>
    <t>Egypt, Palestine Auth. Area, Jordan, Lebanon</t>
  </si>
  <si>
    <t>Upgrade planned Q3 2026</t>
  </si>
  <si>
    <t>LX06268</t>
  </si>
  <si>
    <t>Snowflake PMI_EG</t>
  </si>
  <si>
    <t>a97a1293-56db-4be2-a0ef-d74ea3e04b8c</t>
  </si>
  <si>
    <t>Australia</t>
  </si>
  <si>
    <t>https://ux99591.eu-west-1.snowflakecomputing.com</t>
  </si>
  <si>
    <t>https://pmi-pmi_au.snowflakecomputing.com</t>
  </si>
  <si>
    <t>Cluster Market  </t>
  </si>
  <si>
    <t>Australia, New Zealand</t>
  </si>
  <si>
    <t>LX04642</t>
  </si>
  <si>
    <t>Snowflake PMI_AU</t>
  </si>
  <si>
    <t>6d146ed0-8e2e-40be-b89a-5b095e03d4e0</t>
  </si>
  <si>
    <t>Kazakhstan</t>
  </si>
  <si>
    <t>https://zc94311.eu-west-1.snowflakecomputing.com</t>
  </si>
  <si>
    <t>https://pmi-pmi_kz.snowflakecomputing.com</t>
  </si>
  <si>
    <t>    One Market</t>
  </si>
  <si>
    <t>old/new</t>
  </si>
  <si>
    <t>Upgrade started, new markets in new cluster. KZ still here. </t>
  </si>
  <si>
    <t>LX04785</t>
  </si>
  <si>
    <t>N/A</t>
  </si>
  <si>
    <t>Snowflake PMI_KZ</t>
  </si>
  <si>
    <t>3f112068-0a99-46f5-8ad4-a8f11b309540</t>
  </si>
  <si>
    <t>https://sw91921.eu-west-1.snowflakecomputing.com</t>
  </si>
  <si>
    <t>https://pmi-pmi_mx.snowflakecomputing.com</t>
  </si>
  <si>
    <t>   One Market </t>
  </si>
  <si>
    <t>Upgrade planned Q4</t>
  </si>
  <si>
    <t>LX06272</t>
  </si>
  <si>
    <t>Snowflake PMI_MX</t>
  </si>
  <si>
    <t>dde02f94-87b8-4f4d-9174-265ed2916c96</t>
  </si>
  <si>
    <t>https://bv97446.eu-west-1.snowflakecomputing.com</t>
  </si>
  <si>
    <t>https://pmi-pmi_de.snowflakecomputing.com</t>
  </si>
  <si>
    <t>LX06269</t>
  </si>
  <si>
    <t>Snowflake PMI_DE</t>
  </si>
  <si>
    <t>427637f0-c66b-4734-83a8-a47cf418bfe2</t>
  </si>
  <si>
    <t>https://al36445.eu-west-1.snowflakecomputing.com</t>
  </si>
  <si>
    <t>https://pmi-pmi_uk.snowflakecomputing.com</t>
  </si>
  <si>
    <t>yes</t>
  </si>
  <si>
    <t>LX06270</t>
  </si>
  <si>
    <t>Snowflake PMI_UK</t>
  </si>
  <si>
    <t>37783c60-59ba-484f-9bed-448f63bcaa01</t>
  </si>
  <si>
    <t>Czech Republic, Slovak Republic</t>
  </si>
  <si>
    <t>https://mn17341.eu-west-1.snowflakecomputing.com</t>
  </si>
  <si>
    <t>https://pmi-pmi_czsk.snowflakecomputing.com</t>
  </si>
  <si>
    <t>Yes</t>
  </si>
  <si>
    <t>LX05908</t>
  </si>
  <si>
    <t>Snowflake PMI_CZSK</t>
  </si>
  <si>
    <t>0d0b259f-1de4-4a54-a86d-66bd950dcf98</t>
  </si>
  <si>
    <t>https://tb87741.eu-west-1.snowflakecomputing.com</t>
  </si>
  <si>
    <t>https://pmi-pmi_fr.snowflakecomputing.com</t>
  </si>
  <si>
    <t>LX06271</t>
  </si>
  <si>
    <t>Snowflake PMI_FR</t>
  </si>
  <si>
    <t>a507713d-ecc5-416d-94a3-56ada3e62bd4</t>
  </si>
  <si>
    <t>India</t>
  </si>
  <si>
    <t>IN</t>
  </si>
  <si>
    <t>https://tz27894.eu-west-1.snowflakecomputing.com</t>
  </si>
  <si>
    <t>https://pmi-pmi_in.snowflakecomputing.com</t>
  </si>
  <si>
    <t>TZ27894</t>
  </si>
  <si>
    <t>LX06273</t>
  </si>
  <si>
    <t>Snowflake PMI_IN</t>
  </si>
  <si>
    <t>69d46527-d22b-40dd-bbcd-d08b626775d8</t>
  </si>
  <si>
    <t>Cambodia</t>
  </si>
  <si>
    <t>https://vp63759.eu-west-1.snowflakecomputing.com</t>
  </si>
  <si>
    <t>https://pmi-pmi_kh.snowflakecomputing.com</t>
  </si>
  <si>
    <t>FMG Cluster, Cambodia, Bangladesh, Nepal, Maledives</t>
  </si>
  <si>
    <t>decom</t>
  </si>
  <si>
    <t>LX06284</t>
  </si>
  <si>
    <t>Snowflake PMI_KH</t>
  </si>
  <si>
    <t>223ad18b-c632-43ef-a732-4feda868e94c</t>
  </si>
  <si>
    <t>Georgia</t>
  </si>
  <si>
    <t>https://po26476.eu-west-1.snowflakecomputing.com</t>
  </si>
  <si>
    <t>https://pmi-pmi_ge.snowflakecomputing.com</t>
  </si>
  <si>
    <t>Yes,</t>
  </si>
  <si>
    <t>LX05216</t>
  </si>
  <si>
    <t>Snowflake PMI_GE</t>
  </si>
  <si>
    <t>79952c6d-8439-4089-9b37-ffc82dd969e8</t>
  </si>
  <si>
    <t>Moldova </t>
  </si>
  <si>
    <t>https://te25998.eu-west-1.snowflakecomputing.com</t>
  </si>
  <si>
    <t>https://pmi-pmi_md.snowflakecomputing.com</t>
  </si>
  <si>
    <t>LX05215</t>
  </si>
  <si>
    <t>Snowflake PMI_MD</t>
  </si>
  <si>
    <t>87ffea58-136b-4b7d-bd75-80ff558038ec</t>
  </si>
  <si>
    <t>Armenia </t>
  </si>
  <si>
    <t>https://mz13437.eu-west-1.snowflakecomputing.com</t>
  </si>
  <si>
    <t>https://pmi-pmi_am.snowflakecomputing.com</t>
  </si>
  <si>
    <t>LX05217</t>
  </si>
  <si>
    <t>Snowflake PMI_AM</t>
  </si>
  <si>
    <t>d66483cb-628e-446b-90c6-9c8101fce024</t>
  </si>
  <si>
    <t>Bulgaria</t>
  </si>
  <si>
    <t>https://jx90695.eu-west-1.snowflakecomputing.com</t>
  </si>
  <si>
    <t>https://pmi-pmi_bg.snowflakecomputing.com</t>
  </si>
  <si>
    <t>LX06285</t>
  </si>
  <si>
    <t>Snowflake PMI_BG</t>
  </si>
  <si>
    <t>9cfec623-d0c7-4b6e-9073-d5b9c8d9ae03</t>
  </si>
  <si>
    <t>Ukraine</t>
  </si>
  <si>
    <t>https://fu70038.eu-west-1.snowflakecomputing.com</t>
  </si>
  <si>
    <t>https://pmi-pmi_ua.snowflakecomputing.com</t>
  </si>
  <si>
    <t>LX05219</t>
  </si>
  <si>
    <t>Snowflake PMI_UA</t>
  </si>
  <si>
    <t>0e818fb9-56e7-4314-ad7d-a849a5200710</t>
  </si>
  <si>
    <t>Lithuania</t>
  </si>
  <si>
    <t>https://yq71574.eu-west-1.snowflakecomputing.com</t>
  </si>
  <si>
    <t>https://pmi-pmi_lt.snowflakecomputing.com</t>
  </si>
  <si>
    <t>No upgrade needed.</t>
  </si>
  <si>
    <t>Decomm</t>
  </si>
  <si>
    <t>LX06274</t>
  </si>
  <si>
    <t>Snowflake PMI_LT</t>
  </si>
  <si>
    <t>87848ce8-132a-42c3-ac79-0ff6804f8565</t>
  </si>
  <si>
    <t>Latvia</t>
  </si>
  <si>
    <t>https://tj20300.eu-west-1.snowflakecomputing.com</t>
  </si>
  <si>
    <t>https://pmi-pmi_lv.snowflakecomputing.com</t>
  </si>
  <si>
    <t>LX06286</t>
  </si>
  <si>
    <t>Snowflake PMI_LV</t>
  </si>
  <si>
    <t>c1954344-2c94-4a67-9888-dd28c0a735b6</t>
  </si>
  <si>
    <t>https://zr99368.eu-west-1.snowflakecomputing.com</t>
  </si>
  <si>
    <t>https://pmi-pmi_pk.snowflakecomputing.com</t>
  </si>
  <si>
    <t>LX06094</t>
  </si>
  <si>
    <t>Snowflake PMI_PK</t>
  </si>
  <si>
    <t>a64b24ee-e8fa-4412-b1dc-c2cb66016cac</t>
  </si>
  <si>
    <t>https://kg15403.eu-west-1.snowflakecomputing.com</t>
  </si>
  <si>
    <t>https://pmi-pmi_ph.snowflakecomputing.com</t>
  </si>
  <si>
    <t>LX06276</t>
  </si>
  <si>
    <t>Snowflake PMI_PH</t>
  </si>
  <si>
    <t>Estonia</t>
  </si>
  <si>
    <t>ET</t>
  </si>
  <si>
    <t>https://tl15301.eu-west-1.snowflakecomputing.com</t>
  </si>
  <si>
    <t>https://pmi-pmi_et.snowflakecomputing.com</t>
  </si>
  <si>
    <t>TL15301</t>
  </si>
  <si>
    <t>LX06275</t>
  </si>
  <si>
    <t>Snowflake PMI_ET</t>
  </si>
  <si>
    <t>3767fa74-399d-4501-b348-aae36086664d</t>
  </si>
  <si>
    <t>Duty Free</t>
  </si>
  <si>
    <t>FDF</t>
  </si>
  <si>
    <t>https://pl47603.eu-west-1.snowflakecomputing.com</t>
  </si>
  <si>
    <t>https://pmi-pmi_fdf.snowflakecomputing.com</t>
  </si>
  <si>
    <t>PL47603</t>
  </si>
  <si>
    <t>Data domain</t>
  </si>
  <si>
    <t>Duty Free/Global Travel retail, PMIDF</t>
  </si>
  <si>
    <t>LX06287</t>
  </si>
  <si>
    <t>Snowflake PMI_FDF</t>
  </si>
  <si>
    <t>09887791-ff27-4256-9f48-7409dba50057</t>
  </si>
  <si>
    <t>Enterprise Data &amp; Analytics</t>
  </si>
  <si>
    <t>FEA</t>
  </si>
  <si>
    <t>https://ng38395.eu-west-1.snowflakecomputing.com</t>
  </si>
  <si>
    <t>https://pmi-pmi_fea.snowflakecomputing.com</t>
  </si>
  <si>
    <t>NG38395</t>
  </si>
  <si>
    <t>DEVT</t>
  </si>
  <si>
    <t>Development</t>
  </si>
  <si>
    <t>LX06253</t>
  </si>
  <si>
    <t>Snowflake PMI_FEA</t>
  </si>
  <si>
    <t>e406408f-76f0-47e9-aafa-a62713181ef3</t>
  </si>
  <si>
    <t>MEA Regional Account</t>
  </si>
  <si>
    <t>RME</t>
  </si>
  <si>
    <t>https://zd75676.eu-west-1.snowflakecomputing.com</t>
  </si>
  <si>
    <t>https://pmi-pmi_rme.snowflakecomputing.com</t>
  </si>
  <si>
    <t>ZD75676</t>
  </si>
  <si>
    <t>Upgrade planned Q4 2026</t>
  </si>
  <si>
    <t>LX06281</t>
  </si>
  <si>
    <t>Snowflake PMI_RME</t>
  </si>
  <si>
    <t>13e14491-779a-4bad-b283-4de0ddcfafe5</t>
  </si>
  <si>
    <t>OPS Functional Operations</t>
  </si>
  <si>
    <t>FOP</t>
  </si>
  <si>
    <t>https://vq84467.eu-west-1.snowflakecomputing.com</t>
  </si>
  <si>
    <t>https://pmi-pmi_fop.snowflakecomputing.com</t>
  </si>
  <si>
    <t>VQ84467</t>
  </si>
  <si>
    <t>Operations</t>
  </si>
  <si>
    <t>LX06282</t>
  </si>
  <si>
    <t>United States</t>
  </si>
  <si>
    <t>PMI_US_PHASE_1</t>
  </si>
  <si>
    <t>https://sr12280.eu-west-1.snowflakecomputing.com</t>
  </si>
  <si>
    <t>https://pmi-pmi_us_phase_1.snowflakecomputing.com</t>
  </si>
  <si>
    <t>Node migrated to US region to XDB62269.</t>
  </si>
  <si>
    <t>LX05918</t>
  </si>
  <si>
    <t>Andean</t>
  </si>
  <si>
    <t>RAN</t>
  </si>
  <si>
    <t>https://xp62606.eu-west-1.snowflakecomputing.com</t>
  </si>
  <si>
    <t>https://pmi-pmi_ran.snowflakecomputing.com</t>
  </si>
  <si>
    <t>Andean, Peru, Venezuela, Colombia, Ecuador</t>
  </si>
  <si>
    <t>LX04764</t>
  </si>
  <si>
    <t>Snowflake PMI_RAN</t>
  </si>
  <si>
    <t>1442105f-b427-42fe-aa66-a9b86f1740c0</t>
  </si>
  <si>
    <t>Italy</t>
  </si>
  <si>
    <t>IT</t>
  </si>
  <si>
    <t>https://co95291.eu-west-1.snowflakecomputing.com</t>
  </si>
  <si>
    <t>https://pmi-pmi_it.snowflakecomputing.com</t>
  </si>
  <si>
    <t>CO95291</t>
  </si>
  <si>
    <t>LX06289</t>
  </si>
  <si>
    <t>Snowflake PMI_IT</t>
  </si>
  <si>
    <t>8ff3b7a0-b498-4a5c-a244-c595ad785007</t>
  </si>
  <si>
    <t>Hungary</t>
  </si>
  <si>
    <t>https://wn52114.eu-west-1.snowflakecomputing.com</t>
  </si>
  <si>
    <t>https://pmi-pmi_hu.snowflakecomputing.com</t>
  </si>
  <si>
    <t>Decomm.</t>
  </si>
  <si>
    <t>Poland</t>
  </si>
  <si>
    <t>PL</t>
  </si>
  <si>
    <t>https://qs62429.eu-west-1.snowflakecomputing.com</t>
  </si>
  <si>
    <t>https://pmi-pmi_pl.snowflakecomputing.com</t>
  </si>
  <si>
    <t>QS62429</t>
  </si>
  <si>
    <t>LX06066</t>
  </si>
  <si>
    <t>True </t>
  </si>
  <si>
    <t>Snowflake PMI_PL</t>
  </si>
  <si>
    <t>da8a31c1-87bc-48e3-8267-8ad368da36b8</t>
  </si>
  <si>
    <t>https://jp13634.eu-west-1.snowflakecomputing.com</t>
  </si>
  <si>
    <t>https://pmi-pmi_at.snowflakecomputing.com</t>
  </si>
  <si>
    <t>LX06277</t>
  </si>
  <si>
    <t>Snowflake PMI_AT</t>
  </si>
  <si>
    <t>ed11b418-dd4e-4b5c-8b09-0fe55851d149</t>
  </si>
  <si>
    <t>MA</t>
  </si>
  <si>
    <t>https://gt52354.eu-west-1.snowflakecomputing.com</t>
  </si>
  <si>
    <t>https://pmi-pmi_ma.snowflakecomputing.com</t>
  </si>
  <si>
    <t>Morocco, Algeria, Tunisia, Libya</t>
  </si>
  <si>
    <t>LX06279</t>
  </si>
  <si>
    <t>Snowflake PMI_MA</t>
  </si>
  <si>
    <t>75d73444-fbe2-4303-b61e-8f921f45e8c3</t>
  </si>
  <si>
    <t>Canada</t>
  </si>
  <si>
    <t>CA</t>
  </si>
  <si>
    <t>https://in38741.eu-west-1.snowflakecomputing.com</t>
  </si>
  <si>
    <t>https://pmi-pmi_ca.snowflakecomputing.com</t>
  </si>
  <si>
    <t>IN38741</t>
  </si>
  <si>
    <t>Canada, Canada New</t>
  </si>
  <si>
    <t>LX05923</t>
  </si>
  <si>
    <t>Snowflake PMI_CA</t>
  </si>
  <si>
    <t>a0e5214c-5357-42d3-9b51-4eb7de69caff</t>
  </si>
  <si>
    <t>Malaysia and Singapore </t>
  </si>
  <si>
    <t>https://ls15602.eu-west-1.snowflakecomputing.com</t>
  </si>
  <si>
    <t>https://pmi-pmi_cmy.snowflakecomputing.com</t>
  </si>
  <si>
    <t>Malaysia, Singapore</t>
  </si>
  <si>
    <t>LX05954</t>
  </si>
  <si>
    <t>Snowflake PMI_MY </t>
  </si>
  <si>
    <t>4680dfec-dd92-49d2-bfdf-3778c0220d86</t>
  </si>
  <si>
    <t>Commercial</t>
  </si>
  <si>
    <t>FCM</t>
  </si>
  <si>
    <t>https://zf15111.eu-west-1.snowflakecomputing.com</t>
  </si>
  <si>
    <t>https://pmi-pmi_fcm.snowflakecomputing.com</t>
  </si>
  <si>
    <t>ZF15111</t>
  </si>
  <si>
    <t>-</t>
  </si>
  <si>
    <t>Consumer</t>
  </si>
  <si>
    <t>FCO</t>
  </si>
  <si>
    <t>https://oh58428.eu-west-1.snowflakecomputing.com</t>
  </si>
  <si>
    <t>https://pmi-pmi_fco.snowflakecomputing.com</t>
  </si>
  <si>
    <t>OH58428</t>
  </si>
  <si>
    <t>COMM</t>
  </si>
  <si>
    <t>CONS</t>
  </si>
  <si>
    <t>Admin Node</t>
  </si>
  <si>
    <t>FAD</t>
  </si>
  <si>
    <t>https://lq22027.eu-west-1.snowflakecomputing.com</t>
  </si>
  <si>
    <t>https://pmi-pmi_fad.snowflakecomputing.com</t>
  </si>
  <si>
    <t>LQ22027</t>
  </si>
  <si>
    <t>ADM</t>
  </si>
  <si>
    <t>Admin</t>
  </si>
  <si>
    <t>LX07707</t>
  </si>
  <si>
    <t>Snowflake PMI_FAD</t>
  </si>
  <si>
    <t> d651ed24-7145-4a83-b9cc-af41e960f241</t>
  </si>
  <si>
    <t>Supply Chain</t>
  </si>
  <si>
    <t>SPCH</t>
  </si>
  <si>
    <t>https://fo55901.eu-west-1.snowflakecomputing.com</t>
  </si>
  <si>
    <t>https://pmi-pmi_spch.snowflakecomputing.com</t>
  </si>
  <si>
    <t>FO55901</t>
  </si>
  <si>
    <t>LX06290</t>
  </si>
  <si>
    <t>Snowflake PMI_SPCH</t>
  </si>
  <si>
    <t> c3ab08a5-6908-47b3-8b3e-8499e4f12ba8</t>
  </si>
  <si>
    <t>Functional Capability</t>
  </si>
  <si>
    <t>FCT</t>
  </si>
  <si>
    <t>https://id00779.eu-west-1.snowflakecomputing.com</t>
  </si>
  <si>
    <t>https://pmi-pmi_fct.snowflakecomputing.com</t>
  </si>
  <si>
    <t>ID00779</t>
  </si>
  <si>
    <t>LX06764</t>
  </si>
  <si>
    <t>Snowflake PMI_FCT</t>
  </si>
  <si>
    <t> ea58b2e7-b1f0-40cd-8e3e-bfa170632386</t>
  </si>
  <si>
    <t>Functional Capability Development</t>
  </si>
  <si>
    <t>FCD</t>
  </si>
  <si>
    <t>https://mh71026.eu-west-1.snowflakecomputing.com</t>
  </si>
  <si>
    <t>https://pmi-pmi_fcd.snowflakecomputing.com</t>
  </si>
  <si>
    <t>MH71026</t>
  </si>
  <si>
    <t>LX06763</t>
  </si>
  <si>
    <t>Snowflake PMI_FCD</t>
  </si>
  <si>
    <t> d5b934b8-071f-48b6-bcb7-0bd1ff334b5f</t>
  </si>
  <si>
    <t>Finance</t>
  </si>
  <si>
    <t>FINC</t>
  </si>
  <si>
    <t>https://ta16206.eu-west-1.snowflakecomputing.com</t>
  </si>
  <si>
    <t>https://pmi-pmi_finc.snowflakecomputing.com</t>
  </si>
  <si>
    <t>TA16206</t>
  </si>
  <si>
    <t>corporate</t>
  </si>
  <si>
    <t>Snowflake PMI_FINC</t>
  </si>
  <si>
    <t> 7dde77ec-61af-4946-9847-c45ffa0eb992</t>
  </si>
  <si>
    <t>Sustainability</t>
  </si>
  <si>
    <t>SUST</t>
  </si>
  <si>
    <t>https://zi04172.eu-west-1.snowflakecomputing.com</t>
  </si>
  <si>
    <t>https://pmi-pmi_sust.snowflakecomputing.com</t>
  </si>
  <si>
    <t>ZI04172</t>
  </si>
  <si>
    <t>engagement</t>
  </si>
  <si>
    <t>LX06256</t>
  </si>
  <si>
    <t>Snowflake PMI_SUST</t>
  </si>
  <si>
    <t> 7ef4a4a1-26ca-4855-bcfe-0616f59f5a59</t>
  </si>
  <si>
    <t>InfoSec</t>
  </si>
  <si>
    <t>INSC</t>
  </si>
  <si>
    <t>https://ow44607.eu-west-1.snowflakecomputing.com</t>
  </si>
  <si>
    <t>https://pmi-pmi_insc.snowflakecomputing.com</t>
  </si>
  <si>
    <t>OW44607</t>
  </si>
  <si>
    <t>LX06254</t>
  </si>
  <si>
    <t>Snowflake PMI_INSC</t>
  </si>
  <si>
    <t> dbfadb96-8dfd-4487-b7ae-b0f7ee91d2bb</t>
  </si>
  <si>
    <t>People &amp; Culture</t>
  </si>
  <si>
    <t>PNCL</t>
  </si>
  <si>
    <t>https://pf10876.eu-west-1.snowflakecomputing.com</t>
  </si>
  <si>
    <t>https://pmi-pmi_pncl.snowflakecomputing.com</t>
  </si>
  <si>
    <t>PF10876</t>
  </si>
  <si>
    <t>LX06255</t>
  </si>
  <si>
    <t>Snowflake PMI_PNCL</t>
  </si>
  <si>
    <t> 51517ba7-4778-4aa3-9114-296040d911d8</t>
  </si>
  <si>
    <t>IT Management</t>
  </si>
  <si>
    <t>ITMG</t>
  </si>
  <si>
    <t>https://qu74988.eu-west-1.snowflakecomputing.com</t>
  </si>
  <si>
    <t>https://pmi-pmi_itmg.snowflakecomputing.com</t>
  </si>
  <si>
    <t>QU74988</t>
  </si>
  <si>
    <t>LX06252</t>
  </si>
  <si>
    <t>Snowflake PMI_ITMG</t>
  </si>
  <si>
    <t> cb84fa62-55e1-4994-86e7-0ab2ad733cb2</t>
  </si>
  <si>
    <t>Life Science</t>
  </si>
  <si>
    <t>LFSC</t>
  </si>
  <si>
    <t>https://mi02080.eu-west-1.snowflakecomputing.com</t>
  </si>
  <si>
    <t>https://pmi-pmi_lfsc.snowflakecomputing.com</t>
  </si>
  <si>
    <t>MI02080</t>
  </si>
  <si>
    <t>LX06476</t>
  </si>
  <si>
    <t>Snowflake PMI_LFSC</t>
  </si>
  <si>
    <t> 3138973b-c01f-42d5-8852-bf9c8cdd00f6</t>
  </si>
  <si>
    <t>ZA</t>
  </si>
  <si>
    <t>https://jc24096.eu-west-1.snowflakecomputing.com</t>
  </si>
  <si>
    <t>https://pmi-pmi_za.snowflakecomputing.com</t>
  </si>
  <si>
    <t>LX06727</t>
  </si>
  <si>
    <t>Snowflake PMI_ZA</t>
  </si>
  <si>
    <t> 59f2260a-8d23-4c4a-a2ff-483803ff6f3c</t>
  </si>
  <si>
    <t>https://tq34613.eu-west-1.snowflakecomputing.com</t>
  </si>
  <si>
    <t>https://pmi-pmi_tw.snowflakecomputing.com</t>
  </si>
  <si>
    <t>LX06762</t>
  </si>
  <si>
    <t>Snowflake PMI_TW</t>
  </si>
  <si>
    <t> 1673b15a-8e8f-4a0c-9306-90e571952fbe</t>
  </si>
  <si>
    <t>South Cluster</t>
  </si>
  <si>
    <t>UY</t>
  </si>
  <si>
    <t>https://yt41145.eu-west-1.snowflakecomputing.com</t>
  </si>
  <si>
    <t>https://pmi-pmi_uy.snowflakecomputing.com</t>
  </si>
  <si>
    <t>Cluster</t>
  </si>
  <si>
    <t>LX06707</t>
  </si>
  <si>
    <t>Snowflake PMI_UY</t>
  </si>
  <si>
    <t>4d79e31f-5083-4281-b109-6e10421bf763 </t>
  </si>
  <si>
    <t>Cluster Middle East</t>
  </si>
  <si>
    <t>CME</t>
  </si>
  <si>
    <t>https://nv50168.eu-west-1.snowflakecomputing.com</t>
  </si>
  <si>
    <t>https://pmi-pmi_cme.snowflakecomputing.com</t>
  </si>
  <si>
    <t>Cluster Middle East, UAE, Kuwait, Bahrain, Oman, Saudi Arabia, Iraq, Qatar</t>
  </si>
  <si>
    <t>LX06936</t>
  </si>
  <si>
    <t>Snowflake PMI_CME</t>
  </si>
  <si>
    <t> 2e57985a-e426-4a08-8016-127c24faefb7</t>
  </si>
  <si>
    <t>59 </t>
  </si>
  <si>
    <t>Risk and Assurance</t>
  </si>
  <si>
    <t>RISK</t>
  </si>
  <si>
    <t>https://cy30658.eu-west-1.snowflakecomputing.com</t>
  </si>
  <si>
    <t>https://pmi-pmi_risk.snowflakecomputing.com</t>
  </si>
  <si>
    <t>CY30658</t>
  </si>
  <si>
    <t>LX07029</t>
  </si>
  <si>
    <t>Snowflake PMI_RISK</t>
  </si>
  <si>
    <t> 447a6a74-e899-452c-8c4a-367912f5fa71</t>
  </si>
  <si>
    <t>https://mu28789.eu-west-1.snowflakecomputing.com</t>
  </si>
  <si>
    <t>https://pmi-pmi_az.snowflakecomputing.com</t>
  </si>
  <si>
    <t>LX06967</t>
  </si>
  <si>
    <t>Snowflake PMI_AZ</t>
  </si>
  <si>
    <t> d5fda03a-304b-40fb-87a5-4dfddd133575</t>
  </si>
  <si>
    <t>Corporate</t>
  </si>
  <si>
    <t>CORP</t>
  </si>
  <si>
    <t>https://go71735.eu-west-1.snowflakecomputing.com</t>
  </si>
  <si>
    <t>https://pmi-pmi_corp.snowflakecomputing.com</t>
  </si>
  <si>
    <t>GO71735</t>
  </si>
  <si>
    <t>LX07050</t>
  </si>
  <si>
    <t>Snowflake PMI_CORP</t>
  </si>
  <si>
    <t> 509c5b82-c8c0-4ffa-84f8-e0999fa59e11</t>
  </si>
  <si>
    <t>Cluster Nordics</t>
  </si>
  <si>
    <t>CNRD</t>
  </si>
  <si>
    <t>https://ea17288.eu-west-1.snowflakecomputing.com</t>
  </si>
  <si>
    <t>https://pmi-pmi_cnrd.snowflakecomputing.com</t>
  </si>
  <si>
    <t>Cluster Nordics, Norway, Iceland, Sweden, Denmark</t>
  </si>
  <si>
    <t>LX07191</t>
  </si>
  <si>
    <t>Snowflake PMI_CNRD</t>
  </si>
  <si>
    <t> ebaec386-ef78-438b-a168-0f90e7ef496b</t>
  </si>
  <si>
    <t>Cluster Benelux</t>
  </si>
  <si>
    <t>CBNL</t>
  </si>
  <si>
    <t>https://kc62702.eu-west-1.snowflakecomputing.com</t>
  </si>
  <si>
    <t>https://pmi-pmi_cbnl.snowflakecomputing.com</t>
  </si>
  <si>
    <t>Netherlands, Belgium, Luxembourg</t>
  </si>
  <si>
    <t>LX07190</t>
  </si>
  <si>
    <t>Snowflake PMI_CBNL</t>
  </si>
  <si>
    <t> 37782475-cbe7-46a8-892c-1015a72b84f8</t>
  </si>
  <si>
    <t>https://nb65125.eu-west-1.snowflakecomputing.com</t>
  </si>
  <si>
    <t>https://pmi-pmi_jp.snowflakecomputing.com</t>
  </si>
  <si>
    <t>LX07263</t>
  </si>
  <si>
    <t>Snowflake PMI_JP</t>
  </si>
  <si>
    <t> 984662c8-c5e2-4033-831a-b25abb01dd7b</t>
  </si>
  <si>
    <t>Global Leaf &amp; Product Development</t>
  </si>
  <si>
    <t>GLPD</t>
  </si>
  <si>
    <t>https://cb61650.eu-west-1.snowflakecomputing.com</t>
  </si>
  <si>
    <t>https://pmi-pmi_glpd.snowflakecomputing.com</t>
  </si>
  <si>
    <t>CB61650</t>
  </si>
  <si>
    <t>operations</t>
  </si>
  <si>
    <t>Migrated from FOP.</t>
  </si>
  <si>
    <t>LX07286</t>
  </si>
  <si>
    <t>Snowflake PMI_GLPD</t>
  </si>
  <si>
    <t> 35739b00-f049-4645-8f0e-e8db6330995d</t>
  </si>
  <si>
    <t>Brazil</t>
  </si>
  <si>
    <t>BR</t>
  </si>
  <si>
    <t>https://uk00838.eu-west-1.snowflakecomputing.com</t>
  </si>
  <si>
    <t>https://pmi-pmi_br.snowflakecomputing.com</t>
  </si>
  <si>
    <t>UK00838</t>
  </si>
  <si>
    <t>LX07278</t>
  </si>
  <si>
    <t>DPaaS Geographical Node - Brazil (BR) - Snowflake PMI_BR - All_ENV</t>
  </si>
  <si>
    <t> 2d84d278-d7ec-46aa-ad7d-3c12ce9d022e</t>
  </si>
  <si>
    <t>Cluster South East Europe</t>
  </si>
  <si>
    <t>CSEE</t>
  </si>
  <si>
    <t>https://nj29393.eu-west-1.snowflakecomputing.com</t>
  </si>
  <si>
    <t>https://pmi-pmi_csee.snowflakecomputing.com</t>
  </si>
  <si>
    <t>Cluster South East Europe, Albania, Bosnia and Herzegovina, Montenegro, North Macedonia, Serbia, Kosovo</t>
  </si>
  <si>
    <t>LX07247</t>
  </si>
  <si>
    <t>DPaaS Geographical Node - Cluster South East Europe (CSEE) - Snowflake PMI_CSEE - All_ENV</t>
  </si>
  <si>
    <t> e2e169e0-9723-4994-ad17-fa75f8d65a52</t>
  </si>
  <si>
    <t>Procurement</t>
  </si>
  <si>
    <t>PROC</t>
  </si>
  <si>
    <t>https://xn14504.eu-west-1.snowflakecomputing.com</t>
  </si>
  <si>
    <t>https://pmi-pmi_proc.snowflakecomputing.com</t>
  </si>
  <si>
    <t>XN14504</t>
  </si>
  <si>
    <t>Functional </t>
  </si>
  <si>
    <t>LX07249</t>
  </si>
  <si>
    <t>DPaaS Functional Node - Procurement (PROC) - Snowflake PMI_PROC - All_ENV</t>
  </si>
  <si>
    <t> 8098d654-c3e0-4e01-9cb9-6e6377e89803</t>
  </si>
  <si>
    <t>Cluster Croatia Slovenia</t>
  </si>
  <si>
    <t>CCSL</t>
  </si>
  <si>
    <t>https://tx15762.eu-west-1.snowflakecomputing.com</t>
  </si>
  <si>
    <t>https://pmi-pmi_ccsl.snowflakecomputing.com</t>
  </si>
  <si>
    <t>Croatia, Slovenia</t>
  </si>
  <si>
    <t>LX07379</t>
  </si>
  <si>
    <t>DPaaS Geographical Node – Cluster Croatia Slovenia (CCSL) - Snowflake PMI_CCSL - All_ENV</t>
  </si>
  <si>
    <t> aa384b28-abd8-4f0f-a7cd-2e2222e1d090</t>
  </si>
  <si>
    <t>Israel</t>
  </si>
  <si>
    <t>https://rp81237.eu-west-1.snowflakecomputing.com</t>
  </si>
  <si>
    <t>https://pmi-pmi_il.snowflakecomputing.com</t>
  </si>
  <si>
    <t>One Market </t>
  </si>
  <si>
    <t>LX07255</t>
  </si>
  <si>
    <t>DPaaS Geographical Node - Israel (IL) - Snowflake PMI_IL - All_ENV</t>
  </si>
  <si>
    <t> 2f0dba37-3025-4e17-9062-74267bd58d9a</t>
  </si>
  <si>
    <t>Cluster Baltics</t>
  </si>
  <si>
    <t>CBLT</t>
  </si>
  <si>
    <t>https://ra68910.eu-west-1.snowflakecomputing.com</t>
  </si>
  <si>
    <t>https://pmi-pmi_cblt.snowflakecomputing.com</t>
  </si>
  <si>
    <t>RA68910</t>
  </si>
  <si>
    <t>Market</t>
  </si>
  <si>
    <t>Lithuania, Estonia, Latvia</t>
  </si>
  <si>
    <t>LX07506</t>
  </si>
  <si>
    <t>DPaaS Geographical Node - Cluster Baltics (CBLT) - Snowflake PMI_CBLT - All_ENV</t>
  </si>
  <si>
    <t> e503fb1d-aa28-45f4-8859-13029878a948</t>
  </si>
  <si>
    <t>Data Platform Sandbox</t>
  </si>
  <si>
    <t>DPS</t>
  </si>
  <si>
    <t>https://cg05559.eu-west-1.snowflakecomputing.com</t>
  </si>
  <si>
    <t>https://pmi-pmi_dps.snowflakecomputing.com</t>
  </si>
  <si>
    <t>CG05559</t>
  </si>
  <si>
    <t>LX07762 </t>
  </si>
  <si>
    <t>DPaaS Development/Testing Node - Data Platform Sandbox (DPS) - Snowflake PMI_DPS - All_ENV</t>
  </si>
  <si>
    <t> 1015b2d9-c6e6-46e7-b8d3-9da7864fb17b</t>
  </si>
  <si>
    <t>Turkey</t>
  </si>
  <si>
    <t>https://od54613.eu-west-1.snowflakecomputing.com</t>
  </si>
  <si>
    <t>https://pmi-pmi_tr.snowflakecomputing.com</t>
  </si>
  <si>
    <t>LX07697</t>
  </si>
  <si>
    <t>DPaaS Geographical Node – Turkey (TR) - Snowflake PMI_TR - All_ENV</t>
  </si>
  <si>
    <t> fb53da86-422e-4246-a392-8ab015d3aabf</t>
  </si>
  <si>
    <t>US</t>
  </si>
  <si>
    <t>https://xdb62269.us-east-1.snowflakecomputing.com</t>
  </si>
  <si>
    <t>https://pmi-pmi_us.snowflakecomputing.com</t>
  </si>
  <si>
    <t>XDB62269</t>
  </si>
  <si>
    <t> While migrating to a new region of the US</t>
  </si>
  <si>
    <t>DPaaS Geographical Node – United States (US) - Snowflake PMI_US - All_ENV</t>
  </si>
  <si>
    <t>f5c2b1a1-72b0-4fc2-929e-b3af9bd3f47a</t>
  </si>
  <si>
    <t>Data Platform Testing </t>
  </si>
  <si>
    <t>DPT</t>
  </si>
  <si>
    <t>https://di36161.eu-west-1.snowflakecomputing.com</t>
  </si>
  <si>
    <t>https://pmi-pmi_dpt.snowflakecomputing.com</t>
  </si>
  <si>
    <t>DI36161</t>
  </si>
  <si>
    <t>LX07765</t>
  </si>
  <si>
    <t>DPaaS Development Node - Data Platform Testing (DPT) - Snowflake PMI_DPT - All_ENV</t>
  </si>
  <si>
    <t> ef285d5f-750b-4951-b407-debf82c1fed0</t>
  </si>
  <si>
    <t>Caricam</t>
  </si>
  <si>
    <t>CCAR</t>
  </si>
  <si>
    <t>https://po50287.eu-west-1.snowflakecomputing.com</t>
  </si>
  <si>
    <t>https://pmi-pmi_ccar.snowflakecomputing.com</t>
  </si>
  <si>
    <t>PO50287</t>
  </si>
  <si>
    <t>LX07965</t>
  </si>
  <si>
    <t>DPaaS Geographical Node - CARICAM (CCAR) - Snowflake PMI_CCAR - All_ENV</t>
  </si>
  <si>
    <t> 8e99eb8f-0d97-496e-86ca-d3eef820845a</t>
  </si>
  <si>
    <t>Manufacturing</t>
  </si>
  <si>
    <t>MNFG</t>
  </si>
  <si>
    <t>https://mr13713.eu-west-1.snowflakecomputing.com</t>
  </si>
  <si>
    <t>https://pmi-pmi_mnfg.snowflakecomputing.com</t>
  </si>
  <si>
    <t>MR13713 </t>
  </si>
  <si>
    <t> operations</t>
  </si>
  <si>
    <t>new </t>
  </si>
  <si>
    <t> LX08046</t>
  </si>
  <si>
    <t>DPaaS Functional Node - Manufacturing(MNFG) - Snowflake PMI_MNFG - All_ENV</t>
  </si>
  <si>
    <t> db457978-7cad-4665-a3c3-82d24f27d029</t>
  </si>
  <si>
    <t>Research and Development</t>
  </si>
  <si>
    <t>CRND</t>
  </si>
  <si>
    <t>https://le81907.eu-west-1.snowflakecomputing.com</t>
  </si>
  <si>
    <t>https://pmi-pmi_crnd.snowflakecomputing.com</t>
  </si>
  <si>
    <t>LE81907</t>
  </si>
  <si>
    <t>Functional</t>
  </si>
  <si>
    <t>LX08125</t>
  </si>
  <si>
    <t>DPaaS Functional Node - Research and Development(CRND) - Snowflake PMI_CRND - All_ENV</t>
  </si>
  <si>
    <t> f3a640dc-3344-4973-a74f-7d94c74ef8e3</t>
  </si>
  <si>
    <t>Korea</t>
  </si>
  <si>
    <t>https://le90284.eu-west-1.snowflakecomputing.com</t>
  </si>
  <si>
    <t>https://pmi-pmi_kr.snowflakecomputing.com</t>
  </si>
  <si>
    <t>LX07435</t>
  </si>
  <si>
    <t>DPaaS Geographical Node - KOREA (KR) - Snowflake PMI_KR - All_ENV</t>
  </si>
  <si>
    <t> e3b0be2e-56e3-48d3-b968-bda95d36da4b</t>
  </si>
  <si>
    <t>Aspeya</t>
  </si>
  <si>
    <t>FAS</t>
  </si>
  <si>
    <t>https://vs57338.eu-west-1.snowflakecomputing.com</t>
  </si>
  <si>
    <t>https://pmi-pmi_fas.snowflakecomputing.com</t>
  </si>
  <si>
    <t>VS57338</t>
  </si>
  <si>
    <t>LX08362</t>
  </si>
  <si>
    <t>DPaaS Functional Node - ASPEYA (FAS) - Snowflake PMI_FAS - All_ENV</t>
  </si>
  <si>
    <t> 98814084-672c-4493-9f91-4c51400e8105</t>
  </si>
  <si>
    <t>Cluster Kazakhstan </t>
  </si>
  <si>
    <t>CKAZ</t>
  </si>
  <si>
    <t>https://np92030.eu-west-1.snowflakecomputing.com/</t>
  </si>
  <si>
    <t>https://pmi-pmi_ckaz.snowflakecomputing.com</t>
  </si>
  <si>
    <t>NP92030</t>
  </si>
  <si>
    <t>Kazakhstan Cluster</t>
  </si>
  <si>
    <t>DPaaS Geographical Node (Cluster) - Snowflake PMI_CKAZ - All_ENV</t>
  </si>
  <si>
    <t> f5bd73cd-bdac-442c-82e4-e3aa047feac7</t>
  </si>
  <si>
    <t>Cluster China Hong Kong Macau</t>
  </si>
  <si>
    <t>CCHM</t>
  </si>
  <si>
    <t>https://ly13899.eu-west-1.snowflakecomputing.com</t>
  </si>
  <si>
    <t>https://pmi-pmi_cchm.snowflakecomputing.com</t>
  </si>
  <si>
    <t>LY13899</t>
  </si>
  <si>
    <t>China Hong Kong Macau Cluster</t>
  </si>
  <si>
    <t>LX08620</t>
  </si>
  <si>
    <t>DPaaS Geographical Node - CHINA_HONGKONG_MACAU CLUSTER (CCHM) - Snowflake PMI_CCHM - All_ENV</t>
  </si>
  <si>
    <t> 172138e8-ed17-4112-bcaf-40a7fde54cbd</t>
  </si>
  <si>
    <t>https://uk87242.eu-west-1.snowflakecomputing.com</t>
  </si>
  <si>
    <t>UK87242</t>
  </si>
  <si>
    <t>LX06288</t>
  </si>
  <si>
    <t>Number</t>
  </si>
  <si>
    <t>Region</t>
  </si>
  <si>
    <t>Node Driver</t>
  </si>
  <si>
    <t>Identifier</t>
  </si>
  <si>
    <t>Account locator url</t>
  </si>
  <si>
    <t>Account url</t>
  </si>
  <si>
    <t>Account Locator</t>
  </si>
  <si>
    <t>Node Type</t>
  </si>
  <si>
    <t>domain</t>
  </si>
  <si>
    <t>Node subtype</t>
  </si>
  <si>
    <t>Architecture</t>
  </si>
  <si>
    <t>Ol Markets Finance</t>
  </si>
  <si>
    <t>Arch Upgrade Activity</t>
  </si>
  <si>
    <t>Lean IX ID</t>
  </si>
  <si>
    <t>ACM</t>
  </si>
  <si>
    <t>Azure AD APP name</t>
  </si>
  <si>
    <t>Azure AD app ID</t>
  </si>
  <si>
    <t> Subject area</t>
  </si>
  <si>
    <t>    One Market </t>
  </si>
  <si>
    <t> Data domain</t>
  </si>
  <si>
    <t>     One Market</t>
  </si>
  <si>
    <t> data domain</t>
  </si>
  <si>
    <t>Status</t>
  </si>
  <si>
    <t>Inactive</t>
  </si>
  <si>
    <t>notfound</t>
  </si>
  <si>
    <t>Matched?</t>
  </si>
  <si>
    <t>mapping account locator to documentation</t>
  </si>
  <si>
    <t>Region Trim</t>
  </si>
  <si>
    <t>Country Name Ori</t>
  </si>
  <si>
    <t>Region from DPaaS</t>
  </si>
  <si>
    <t>Malaysia and Singapore</t>
  </si>
  <si>
    <t>remarks</t>
  </si>
  <si>
    <t>accloc is cyprus</t>
  </si>
  <si>
    <t>accloc is andean cluster</t>
  </si>
  <si>
    <t>deleted</t>
  </si>
  <si>
    <t>accloc is Kazakhstan</t>
  </si>
  <si>
    <t>accloc is Portugal</t>
  </si>
  <si>
    <t>not found</t>
  </si>
  <si>
    <t>need to be checked</t>
  </si>
  <si>
    <t>Type</t>
  </si>
  <si>
    <t>Market/Function</t>
  </si>
  <si>
    <t>Head of DI&amp;A</t>
  </si>
  <si>
    <t>DG Lead</t>
  </si>
  <si>
    <t>IMDL Approvers</t>
  </si>
  <si>
    <t>Business System Owner</t>
  </si>
  <si>
    <t>Node Owner</t>
  </si>
  <si>
    <t>ANDEAN (RAN)</t>
  </si>
  <si>
    <t>Laura.PerezMonge@pmi.com</t>
  </si>
  <si>
    <t>Gina.Prieto@pmi.com</t>
  </si>
  <si>
    <t>jailer.restrepo@pmi.com</t>
  </si>
  <si>
    <t>Jessica.Torres@pmi.com</t>
  </si>
  <si>
    <t>Armenia (AM)</t>
  </si>
  <si>
    <t>Konstantin.Mityushkin@pmi.com</t>
  </si>
  <si>
    <t>Hayk.Haykyan@pmi.com</t>
  </si>
  <si>
    <t>Hamlet.Unusyan@pmi.com</t>
  </si>
  <si>
    <t>Tali.Maron-Dotan@pmi.com</t>
  </si>
  <si>
    <t>Cristina.Tsiambouris@pmi.com;</t>
  </si>
  <si>
    <t>YeeMun.Hoi@pmi.com</t>
  </si>
  <si>
    <t>RobertJoseph.Gereige@pmi.com</t>
  </si>
  <si>
    <t>Sobitha.buthgamuwa@pmi.com</t>
  </si>
  <si>
    <t>Karen.Molina@pmi.com</t>
  </si>
  <si>
    <t>sobitha.buthgamuwa@pmi.com</t>
  </si>
  <si>
    <t>Austria (AT)</t>
  </si>
  <si>
    <t>Ankit.Rohatgi@pmi.com;</t>
  </si>
  <si>
    <t>frank.goetz@pmi.com</t>
  </si>
  <si>
    <t>Ankit.Rohatgi@pmi.com</t>
  </si>
  <si>
    <t>eray.sentuerk@pmi.com</t>
  </si>
  <si>
    <t>Jitka.Hajkova@pmi.com</t>
  </si>
  <si>
    <t>Azerbaijan (AZ)</t>
  </si>
  <si>
    <t>Igor.Nikonenko@pmi.com</t>
  </si>
  <si>
    <t>Baltics Cluster (CBLT)</t>
  </si>
  <si>
    <t>Paula.Pratuseviciute@pmi.com</t>
  </si>
  <si>
    <t>aliaksei.karneyavets@pmi.com</t>
  </si>
  <si>
    <t>Joanna.Adamczak@pmi.com</t>
  </si>
  <si>
    <t>Benelux (CBNL)</t>
  </si>
  <si>
    <t>Alexey.Kayuchenko@pmi.com</t>
  </si>
  <si>
    <t>stefan.verschelden@pmi.com</t>
  </si>
  <si>
    <t>dmitry.dunaev@pmi.com</t>
  </si>
  <si>
    <t>valerie.vanspaendonck@pmi.com</t>
  </si>
  <si>
    <t>Bulgaria (BG)</t>
  </si>
  <si>
    <t>Thanassis.Sagriotis@pmi.com;</t>
  </si>
  <si>
    <t>Danail.Gardev@pmi.com</t>
  </si>
  <si>
    <t>Sabina.Rakova@pmi.com</t>
  </si>
  <si>
    <t>simona.todorova@pmi.com</t>
  </si>
  <si>
    <t>Stathis.Fasolis@pmi.com</t>
  </si>
  <si>
    <t>Brazil (BR)</t>
  </si>
  <si>
    <t>camile.fracasso@pmi.com</t>
  </si>
  <si>
    <t>David.Rodrigues@pmi.com</t>
  </si>
  <si>
    <t>fernando.varani@pmi.com</t>
  </si>
  <si>
    <t>jonas.cruz@pmi.com</t>
  </si>
  <si>
    <t>Cambodia (KH)</t>
  </si>
  <si>
    <t>CharlesCedric.Tanedo@pmi.com;</t>
  </si>
  <si>
    <t>MinhChuc.Ho@pmi.com</t>
  </si>
  <si>
    <t>CharlesCedric.Tanedo@pmi.com</t>
  </si>
  <si>
    <t>Canada (CA)</t>
  </si>
  <si>
    <t>Preeti.Matkar@rbhinc.ca</t>
  </si>
  <si>
    <t>Dimitra.Roustas@rbhinc.ca</t>
  </si>
  <si>
    <t>joanne.estacion@rbhinc.ca</t>
  </si>
  <si>
    <t>Patrick.Codere@rbhinc.ca</t>
  </si>
  <si>
    <t>CARICAM (CCAR)</t>
  </si>
  <si>
    <t>Daniel.Diaz@pmi.com;</t>
  </si>
  <si>
    <t>Tomas.Jaramillo@pmi.com</t>
  </si>
  <si>
    <t>Daniel.Diaz@pmi.com</t>
  </si>
  <si>
    <t>Yahir.Rojas@pmi.com</t>
  </si>
  <si>
    <t>Function</t>
  </si>
  <si>
    <t>Commercial (COMM)</t>
  </si>
  <si>
    <t>Consumer (CONS)</t>
  </si>
  <si>
    <t>dorde.rankovic@pmi.com</t>
  </si>
  <si>
    <t>PaulusIndra.Salim@sampoerna.com</t>
  </si>
  <si>
    <t>Bjoern.Seifert@pmi.com</t>
  </si>
  <si>
    <t>Corporate (CORP)</t>
  </si>
  <si>
    <t>Bruna.Carvalho@pmi.com</t>
  </si>
  <si>
    <t>Croatia &amp; Slovenia (CCSL)</t>
  </si>
  <si>
    <t>Danijal.Morankic@pmi.com</t>
  </si>
  <si>
    <t>Owner &amp; Approver: Hadjiossif, Kyriaki (Kyriaki.Hadjiossif@pmi.com)</t>
  </si>
  <si>
    <t>danijal.morankic@pmi.com</t>
  </si>
  <si>
    <t>vladimir.petrovic@pmi.com</t>
  </si>
  <si>
    <t>Cyprus (CY)</t>
  </si>
  <si>
    <t>Vasileios.Botopoulos@pmi.com</t>
  </si>
  <si>
    <t>Emmanouil.Mitsis@pmi.com</t>
  </si>
  <si>
    <t>Kyriaki.Hadjiossif@pmi.com</t>
  </si>
  <si>
    <t>Ioannis.Theodosiou@pmi.com</t>
  </si>
  <si>
    <t>stathis.fasolis@pmi.com</t>
  </si>
  <si>
    <t>Czech (CZ) &amp; Slovakia (SK)</t>
  </si>
  <si>
    <t>marco.genca@pmi.com;</t>
  </si>
  <si>
    <t>Marek.Haller@pmi.com</t>
  </si>
  <si>
    <t>Adam.Cellar@pmi.com</t>
  </si>
  <si>
    <t>adam.cellar@pmi.com</t>
  </si>
  <si>
    <t>marco.genca@pmi.com</t>
  </si>
  <si>
    <t>Jiri.Blaha@pmi.com</t>
  </si>
  <si>
    <t>Duty Free (FDF)</t>
  </si>
  <si>
    <t>Edward.Gough@pmi.com</t>
  </si>
  <si>
    <t>Andre.ElKhoury@pmi.com</t>
  </si>
  <si>
    <t>edward.gough@pmi.com</t>
  </si>
  <si>
    <t>andre.elkhoury@pmi.com</t>
  </si>
  <si>
    <t>Capability</t>
  </si>
  <si>
    <t>Kamil.Trzepizur@pmi.com</t>
  </si>
  <si>
    <t>Egypt (EG)</t>
  </si>
  <si>
    <t>Mohammed.Abdelfattah@pmi.com;</t>
  </si>
  <si>
    <t>mohamed.tawfik@pmi.com;</t>
  </si>
  <si>
    <t>Patrick.Bernard@pmi.com</t>
  </si>
  <si>
    <t>mohamed.tawfik@pmi.com</t>
  </si>
  <si>
    <t>Mohammed.Abdelfattah@pmi.com</t>
  </si>
  <si>
    <t>aziz.maghzal@pmi.com</t>
  </si>
  <si>
    <t>Functional Admin Node (FAD)</t>
  </si>
  <si>
    <t>Catarina.Oliveira@pmi.com</t>
  </si>
  <si>
    <t>Barbara.Borczyk@pmi.com</t>
  </si>
  <si>
    <t>Finance (FINC)</t>
  </si>
  <si>
    <t>Maria.Tjahjadi@pmi.com;</t>
  </si>
  <si>
    <t>France (FR)</t>
  </si>
  <si>
    <t>Xavier.Lachat@pmi.com</t>
  </si>
  <si>
    <t>Functional Capability Development (FCD)</t>
  </si>
  <si>
    <t>Tegar.Raharditya@sampoerna.com</t>
  </si>
  <si>
    <t>przemyslaw.dankiewicz@contracted.pmi.com</t>
  </si>
  <si>
    <t>Functional Capability Testing (FCT)</t>
  </si>
  <si>
    <t>Georgia (GE)</t>
  </si>
  <si>
    <t>Alexandr.Kozlov@pmi.com</t>
  </si>
  <si>
    <t>Daniel.Landes@pmi.com</t>
  </si>
  <si>
    <t>Owner &amp; Approver: Mitsis, Manos (Manos.Mitsis@pmi.com)</t>
  </si>
  <si>
    <t>felix.drabe@pmi.com</t>
  </si>
  <si>
    <t>michael.koeniger@pmi.com</t>
  </si>
  <si>
    <t>bjoern.seifert@pmi.com</t>
  </si>
  <si>
    <t>Greece (GR)</t>
  </si>
  <si>
    <t>Konstantinos.Ioannidis@pmi.com</t>
  </si>
  <si>
    <t>Antonios.Lympousis@pmi.com</t>
  </si>
  <si>
    <t>IDD (IQAR)</t>
  </si>
  <si>
    <t>kirill.ivanov@pmi.com</t>
  </si>
  <si>
    <t>juan.silva@pmi.com</t>
  </si>
  <si>
    <t>jean-marc.hirschy@pmi.com</t>
  </si>
  <si>
    <t>Anamika.Tiwari@pmi.com</t>
  </si>
  <si>
    <t>kanika.mittal@pmi.com</t>
  </si>
  <si>
    <t>Indonesia (ID)</t>
  </si>
  <si>
    <t>Ivana.Octavia@sampoerna.com</t>
  </si>
  <si>
    <t>Siauw.Engelica@sampoerna.com</t>
  </si>
  <si>
    <t>Jessica.Jodis@sampoerna.com</t>
  </si>
  <si>
    <t>ingrid.wijaya@sampoerna.com</t>
  </si>
  <si>
    <t>Ephraim.Gunawan@sampoerna.com</t>
  </si>
  <si>
    <t>Israel (IL)</t>
  </si>
  <si>
    <t>limor.greenwald@pmi.com</t>
  </si>
  <si>
    <t>Italy (IT)</t>
  </si>
  <si>
    <t>Andrea.Guarnieri@pmi.com</t>
  </si>
  <si>
    <t>Nicola.Fogolin@pmi.com</t>
  </si>
  <si>
    <t>mariaelena.carbonari@pmi.com;</t>
  </si>
  <si>
    <t>Milko.Vaccaro@pmi.com</t>
  </si>
  <si>
    <t>InfoSec (INSC)</t>
  </si>
  <si>
    <t>Maria.Tjahjadi@pmi.com</t>
  </si>
  <si>
    <t>Przemyslaw.Giemza@contracted.pmi.com</t>
  </si>
  <si>
    <t>IT Management (ITMG)</t>
  </si>
  <si>
    <t>Tjahjadi, Maria  temporarily</t>
  </si>
  <si>
    <t>Danny.Chang@pmi.com</t>
  </si>
  <si>
    <t>Yetkin.Erdemol@pmi.com</t>
  </si>
  <si>
    <t>Nishant.Tembulkar@pmi.com</t>
  </si>
  <si>
    <t>Debraj.Patra@pmi.com</t>
  </si>
  <si>
    <t>Samatha.Arishetty@pmi.com</t>
  </si>
  <si>
    <t>Kazakhstan (KZ)</t>
  </si>
  <si>
    <t>Svetlana.Makhmutova@pmi.com</t>
  </si>
  <si>
    <t>Asem.Zhiketova@pmi.com</t>
  </si>
  <si>
    <t>Zhanna.Imanbekova@pmi.com</t>
  </si>
  <si>
    <t>asem.zhiketova@pmi.com</t>
  </si>
  <si>
    <t>Korea (KR)</t>
  </si>
  <si>
    <t>Michael.Kim@pmi.com;</t>
  </si>
  <si>
    <t>Junho.Seo1@pmi.com</t>
  </si>
  <si>
    <t>hyucksoon.lee@pmi.com</t>
  </si>
  <si>
    <t>Aliaksei.Karneyavets@pmi.com</t>
  </si>
  <si>
    <t>Jelena.Mirzojeva@pmi.com</t>
  </si>
  <si>
    <t>Life Science (LFSC)</t>
  </si>
  <si>
    <t>Malaysia (MY) / Singapure</t>
  </si>
  <si>
    <t>CuiYin.Fong@pmi.com</t>
  </si>
  <si>
    <t>WaiKong.Leong@pmi.com</t>
  </si>
  <si>
    <t>Manufacturing (MNFG)</t>
  </si>
  <si>
    <t>Cluster Middle East (CME)</t>
  </si>
  <si>
    <t>Sally.Baltazar-Puno@pmi.com</t>
  </si>
  <si>
    <t>Antoine.Boulos@pmi.com</t>
  </si>
  <si>
    <t>Levent.Asici@pmi.com</t>
  </si>
  <si>
    <t>Dariia.Zharkova@pmi.com</t>
  </si>
  <si>
    <t>DLPMIGlobalITRegion2DataSupport@pmi.com;</t>
  </si>
  <si>
    <t>Ashley.Ramchander@pmi.com</t>
  </si>
  <si>
    <t>Mehmet.Aydinli@pmi.com</t>
  </si>
  <si>
    <t>Mexico (MX)</t>
  </si>
  <si>
    <t>daniel.diaz@pmi.com;</t>
  </si>
  <si>
    <t>Alejandro.Hernandez1@pmi.com</t>
  </si>
  <si>
    <t>Gabriel.Marin@pmi.com</t>
  </si>
  <si>
    <t>Moldavia (MD)</t>
  </si>
  <si>
    <t>nicolai.cerescu@pmi.com</t>
  </si>
  <si>
    <t>oleh.ivchenko@pmi.com</t>
  </si>
  <si>
    <t>bohdan.prokopets@contracted.pmi.com</t>
  </si>
  <si>
    <t>Mykola.Samarin@pmi.com</t>
  </si>
  <si>
    <t>Morocco (MA)</t>
  </si>
  <si>
    <t>Hazim.Zouhair@pmi.com</t>
  </si>
  <si>
    <t>Hicham.Khalil@pmi.com</t>
  </si>
  <si>
    <t>Nordics (CNRD)</t>
  </si>
  <si>
    <t>Sunanda.Ramakrishnan@pmi.com</t>
  </si>
  <si>
    <t>natalia.polyakova@swma.se</t>
  </si>
  <si>
    <t>jackie.hugo@swma.se</t>
  </si>
  <si>
    <t>People and Culture (PNCL)</t>
  </si>
  <si>
    <t>Pakistan (PK)</t>
  </si>
  <si>
    <t>Zainab.Imran@pmi.com</t>
  </si>
  <si>
    <t>Muhammad.Kafeel@pmi.com</t>
  </si>
  <si>
    <t>@Su, Wilhelm</t>
  </si>
  <si>
    <t>ammar.ahmad@pmi.com</t>
  </si>
  <si>
    <t>Nida.Shamim@pmi.com</t>
  </si>
  <si>
    <t>Philippines (PH)</t>
  </si>
  <si>
    <t>AdityaAchadiat.Santoso@pmi.com</t>
  </si>
  <si>
    <t>Rosa.Tobias@pmi.com</t>
  </si>
  <si>
    <t>Narrajos, Tommy Jairus</t>
  </si>
  <si>
    <t>Su, Wilhelm</t>
  </si>
  <si>
    <t>Oleksandr.Onyshchenko@pmi.com</t>
  </si>
  <si>
    <t>Poland (PL)</t>
  </si>
  <si>
    <t>JoseMaria.Torres@pmi.com</t>
  </si>
  <si>
    <t>Ludomir.Mossakowski@pmi.com</t>
  </si>
  <si>
    <t>Wojciech.Przadka@pmi.com</t>
  </si>
  <si>
    <t>ludomir.mossakowski@pmi.com</t>
  </si>
  <si>
    <t>jelena.mirzojeva@pmi.com</t>
  </si>
  <si>
    <t>Portugal (PT)</t>
  </si>
  <si>
    <t>Andre.Silva@pmi.com</t>
  </si>
  <si>
    <t>Joao.Barros@pmi.com</t>
  </si>
  <si>
    <t>andre.silva@pmi.com</t>
  </si>
  <si>
    <t>daniel.rodriguezlago@pmi.com</t>
  </si>
  <si>
    <t>Diogo.alvario@pmi.com</t>
  </si>
  <si>
    <t>Javier.Corcuera@pmi.com</t>
  </si>
  <si>
    <t>Procurement (PROC)</t>
  </si>
  <si>
    <t>Research and Development (CRND)</t>
  </si>
  <si>
    <t>Risk and Assurance (RISK)</t>
  </si>
  <si>
    <t>Serbia (SEE Cluster)</t>
  </si>
  <si>
    <t>Nemanja.Petrasinovic@pmi.com</t>
  </si>
  <si>
    <t>Milan.Kovacevic@pmi.com</t>
  </si>
  <si>
    <t>nenad.djordjevic@pmi.com</t>
  </si>
  <si>
    <t>Sub-Sahara Africa (CSSA)</t>
  </si>
  <si>
    <t>Kanny.Mbacke@pmi.com</t>
  </si>
  <si>
    <t>danja.fiford@pmi.com</t>
  </si>
  <si>
    <t>mthokozisi.nhlabatsi@contracted.pmi.com</t>
  </si>
  <si>
    <t>Mary.Mahuma@pmi.com;</t>
  </si>
  <si>
    <t>Spain (ES)</t>
  </si>
  <si>
    <t>Diana.Villamizar@pmi.com</t>
  </si>
  <si>
    <t>Miguel.Sepulveda@pmi.com</t>
  </si>
  <si>
    <t>Supply Chain (SPCH)</t>
  </si>
  <si>
    <t>jacek.barc@pmi.com</t>
  </si>
  <si>
    <t>Sustainability (SUST)</t>
  </si>
  <si>
    <t>Switzerland (CH)</t>
  </si>
  <si>
    <t>Antonios.Simadopoulos@pmi.com</t>
  </si>
  <si>
    <t>Audrey.Daboudet@pmi.com</t>
  </si>
  <si>
    <t>Yann.Dreano@pmi.com</t>
  </si>
  <si>
    <t>Taiwan (TW)</t>
  </si>
  <si>
    <t>MinJung.Kim@pmi.com</t>
  </si>
  <si>
    <t>Winnie.Soh@pmi.com</t>
  </si>
  <si>
    <t>Ping.Gu@pmi.com</t>
  </si>
  <si>
    <t>ping.gu@pmi.com</t>
  </si>
  <si>
    <t>Thailand (TH)</t>
  </si>
  <si>
    <t>meteerat.taneerat@pmi.com;</t>
  </si>
  <si>
    <t>charlescedric.tanedo@pmi.com</t>
  </si>
  <si>
    <t>AkilayAhmet.Ispirlioglu@pmi.com</t>
  </si>
  <si>
    <t>Simge.Yildirim@pmi.com</t>
  </si>
  <si>
    <t>dariia.zharkova@pmi.com</t>
  </si>
  <si>
    <t>Ukraine (UA)</t>
  </si>
  <si>
    <t>Viktoriia.Olefir@pmi.com</t>
  </si>
  <si>
    <t>Stanislav.Leshchenko@pmi.com</t>
  </si>
  <si>
    <t>United Kingdom (UK)</t>
  </si>
  <si>
    <t>Glyn.Davies@pmi.com</t>
  </si>
  <si>
    <t>Guilherme.Pedroso@pmi.com</t>
  </si>
  <si>
    <t>nikolay.salionov@pmi.com</t>
  </si>
  <si>
    <t>Bulent.Bilgili@pmi.com</t>
  </si>
  <si>
    <t>Uruguay (UY)</t>
  </si>
  <si>
    <t>Noelia.Santorun@pmi.com</t>
  </si>
  <si>
    <t>Gonzalo.DiTullio@pmi.com</t>
  </si>
  <si>
    <t>Juan.GezDiLizio@pmi.com</t>
  </si>
  <si>
    <t>Gabriel.Guzman@pmi.com</t>
  </si>
  <si>
    <t>USA (US)</t>
  </si>
  <si>
    <t>AnjiReddy.Gade@smpmi.com;</t>
  </si>
  <si>
    <t>Cerina.Lynne@smpmi.com</t>
  </si>
  <si>
    <t>AnjiReddy.Gade@smpmi.com</t>
  </si>
  <si>
    <t>rafik.bhura@smpmi.com</t>
  </si>
  <si>
    <t>maksym.nechytailo@contracted.pmi.com</t>
  </si>
  <si>
    <t>SPOC/Distribution List</t>
  </si>
  <si>
    <t>Data Scientist/Analyst Approver</t>
  </si>
  <si>
    <t>Data Engineer Approver</t>
  </si>
  <si>
    <t>Technical Lead</t>
  </si>
  <si>
    <t>jailer.restrepo@pmi.com; alejandro.arboleda@pmi.com; Laura.PerezMonge@pmi.com</t>
  </si>
  <si>
    <t>DEL = Laura.PerezMonge@pmi.com; DE = Laura.PerezMonge@pmi.com; DN= Laura.PerezMonge@pmi.com; DA = Laura.PerezMonge@pmi.com; DS = Laura.PerezMonge@pmi.com; C1 = Laura.PerezMonge@pmi.com</t>
  </si>
  <si>
    <t>tomas.jaramillo@pmi.com</t>
  </si>
  <si>
    <t>Hamlet.Unusyan@pmi.com; Tali.Maron-Dotan@pmi.com;</t>
  </si>
  <si>
    <t>DEL = Hamlet.Unusyan@pmi.com; DE = Hamlet.Unusyan@pmi.com; DN= Hamlet.Unusyan@pmi.com; DA = Hamlet.Unusyan@pmi.com; DS = Hamlet.Unusyan@pmi.com; C1 = Hamlet.Unusyan@pmi.com</t>
  </si>
  <si>
    <t>Andrey.Semenov@pmi.com;  Scott.Mackenthun@pmi.com</t>
  </si>
  <si>
    <t>Castillo, Carlos E.</t>
  </si>
  <si>
    <t>Australia (AU) &amp; New Zealand (NZ)</t>
  </si>
  <si>
    <t>Sobitha.Buthgamuwa@pmi.com; Manikam.Nedumaran@contracted.pmi.com; Karen.Molina@pmi.com; YeeMun.Hoi@pmi.com</t>
  </si>
  <si>
    <t>DEL = Sobitha.Buthgamuwa@pmi.com; DE = Sobitha.Buthgamuwa@pmi.com; DN= Sobitha.Buthgamuwa@pmi.com; DA = Sobitha.Buthgamuwa@pmi.com; DS = Sobitha.Buthgamuwa@pmi.com; C1 = Sobitha.Buthgamuwa@pmi.com</t>
  </si>
  <si>
    <t>Ankit.Rohatgi@pmi.com; eray.sentuerk@pmi.com; frank.goetz@pmi.com;</t>
  </si>
  <si>
    <t>DEL = Ankit.Rohatgi@pmi.com; DE = Ankit.Rohatgi@pmi.com; DN= Ankit.Rohatgi@pmi.com; DA = Ankit.Rohatgi@pmi.com; DS = Ankit.Rohatgi@pmi.com; C1 = Ankit.Rohatgi@pmi.com</t>
  </si>
  <si>
    <t>monika.urbanaviciute@pmi.com; paula.pratuseviciute@pmi.com; aliaksei.karneyavets@pmi.com; jelena.mirzojeva@pmi.com;</t>
  </si>
  <si>
    <t>DEL = Aliaksei.Karneyavets@pmi.com; DE = Paula.Pratuseviciute@pmi.com; DN= Paula.Pratuseviciute@pmi.com; DA = Paula.Pratuseviciute@pmi.com; DS = Paula.Pratuseviciute@pmi.com; C1 = Paula.Pratuseviciute@pmi.com</t>
  </si>
  <si>
    <t>stefan.verschelden@pmi.com; dmitry.dunaev@pmi.com; Thomas.Carrolo@pmi.com;</t>
  </si>
  <si>
    <t>DEL = stefan.verschelden@pmi.com; DE = stefan.verschelden@pmi.com; DN= kamil.sawczak@pmi.com and mladen.vukasinovic@pmi.com; DA = stefan.verschelden@pmi.com; DS = kamil.sawczak@pmi.com and mladen.vukasinovic@pmi.com; C1 = mladen.vukasinovic@pmi.com</t>
  </si>
  <si>
    <t>Thanassis.Sagriotis@pmi.com; simona.todorova@pmi.com; zlatina.hristova-pencheva@pmi.com; elitsa.deyanova@pmi.com;</t>
  </si>
  <si>
    <t>DEL = Sabina.Rakova@pmi.com; DE = Sabina.Rakova@pmi.com; DN= Sabina.Rakova@pmi.com; DA = Sabina.Rakova@pmi.com; DS = Sabina.Rakova@pmi.com; C1 = Sabina.Rakova@pmi.com</t>
  </si>
  <si>
    <t>Thanassis.Sagriotis@pmi.com; ioannis.theodosiou@pmi.com</t>
  </si>
  <si>
    <t>jonas.cruz@pmi.com; fernando.varani@pmi.com; Carolinne.Baltazar@pmi.com; camile.fracasso@pmi.com</t>
  </si>
  <si>
    <t>DEL = jonas.cruz@pmi.com; DE = fabio.garcia@pmi.com; DN= jonas.cruz@pmi.com; DA = jonas.cruz@pmi.com; DS = Marcelo.Alarcon@pmi.com; C1 = David.Rodrigues@pmi.com</t>
  </si>
  <si>
    <t>Carolinne.Baltazar@pmi.com</t>
  </si>
  <si>
    <t>MinhChuc.Ho@pmi.com; CharlesCedric.Tanedo@pmi.com;</t>
  </si>
  <si>
    <t>joanne.estacion@rbhinc.ca; Preeti.Matkar@rbhinc.ca;</t>
  </si>
  <si>
    <t>DEL = Preeti.Matkar@rbhinc.ca; DE = Preeti.Matkar@rbhinc.ca; DN= Preeti.Matkar@rbhinc.ca; DA = Preeti.Matkar@rbhinc.ca; DS = Preeti.Matkar@rbhinc.ca; C1 = Preeti.Matkar@rbhinc.ca</t>
  </si>
  <si>
    <t>dorde.rankovic@pmi.com; RickyAnders.Saputra@sampoerna.com; Deniz.Altunsoy@pmi.com;</t>
  </si>
  <si>
    <t>DE / DEL = Saputra, Ricky Anders; DN = Mackenthun, Scott; DA = Detroyat, Jacques; DS = Semenov, Andrey</t>
  </si>
  <si>
    <t>Seifert, Bjoern</t>
  </si>
  <si>
    <t>PaulusIndra.Salim@sampoerna.com; dorde.rankovic@pmi.com Deniz.Altunsoy@pmi.com;</t>
  </si>
  <si>
    <t>DE / DEL = Salim, Paulus Indra; DN = Mackenthun, Scott; DA = Detroyat, Jacques; DS = Semenov, Andrey</t>
  </si>
  <si>
    <t>Semenov, Andrey;  Scott.Mackenthun@pmi.com</t>
  </si>
  <si>
    <t>Bruna.Carvalho@pmi.com Teresa.Fernandes@pmi.com Przemyslaw.Dankiewicz@contracted.pmi.com</t>
  </si>
  <si>
    <t>DE / DEL = Fernandes, Teresa; DN = Mackenthun, Scott; DA = Detroyat, Jacques; DS = Semenov, Andrey</t>
  </si>
  <si>
    <t>Fernandes, Teresa</t>
  </si>
  <si>
    <t>Stathis.Fasolis@pmi.com; vladimir.petrovic@pmi.com;</t>
  </si>
  <si>
    <t>DEL = Danijal.Morankic@pmi.com; DE = Danijal.Morankic@pmi.com; DN= Danijal.Morankic@pmi.com; DA = Danijal.Morankic@pmi.com; DS = Danijal.Morankic@pmi.com; C1 = Danijal.Morankic@pmi.com</t>
  </si>
  <si>
    <t>stathis.fasolis@pmi.com; Kyriaki.Hadjiossif@pmi.com; Ioannis.Theodosiou@pmi.com;</t>
  </si>
  <si>
    <t>DEL = Kyriaki.Hadjiossif@pmi.com; DE = Kyriaki.Hadjiossif@pmi.com; DN= Kyriaki.Hadjiossif@pmi.com; DA = Kyriaki.Hadjiossif@pmi.com; DS = Kyriaki.Hadjiossif@pmi.com; C1 = Kyriaki.Hadjiossif@pmi.com</t>
  </si>
  <si>
    <t>martin.snizek@pmi.com; marco.genca@pmi.com; michal.vilimek@pmi.com; adam.cellar@pmi.com;</t>
  </si>
  <si>
    <t>DEL = Adam.Cellar@pmi.com; DE = Adam.Cellar@pmi.com; DN= Adam.Cellar@pmi.com; DA = Adam.Cellar@pmi.com; DS = Adam.Cellar@pmi.com; C1 = Adam.Cellar@pmi.com</t>
  </si>
  <si>
    <t>andre.elkhoury@pmi.com; Edward.Gough@pmi.com</t>
  </si>
  <si>
    <t>DEL = Andre.ElKhoury@pmi.com; DE = Andre.ElKhoury@pmi.com; DN= Andre.ElKhoury@pmi.com; DA = Andre.ElKhoury@pmi.com; DS = Andre.ElKhoury@pmi.com; C1 = Andre.ElKhoury@pmi.com</t>
  </si>
  <si>
    <t>EAD (FEA) - Functional EAD node for testing</t>
  </si>
  <si>
    <t>Kamil.Trzepizur@pmi.com; Bjoern.Seifert@pmi.com; Othmane.Guessous@pmi.com; Tegar.Raharditya@sampoerna.com; Rafal.Sawicki@contracted.pmi.com</t>
  </si>
  <si>
    <t>Mohammed.Abdelfattah@pmi.com; Wissam.ElSabeh@pmi.com; mohamed.tawfik@pmi.com; Omar.Alashqar@pmi.com;</t>
  </si>
  <si>
    <t>DEL = Mohammed.Abdelfattah@pmi.com; DE = Mohammed.Abdelfattah@pmi.com; DN= mohamed.tawfik@pmi.com;; DA = Mohammed.Abdelfattah@pmi.com; DS = mohamed.tawfik@pmi.com;; C1 = mohamed.tawfik@pmi.com</t>
  </si>
  <si>
    <t>Catarina.Oliveira@pmi.com; Barbara.Borczyk@pmi.com;</t>
  </si>
  <si>
    <t>Marwa.Kouriat@pmi.com; Xavier.Lachat@pmi.com; Nikolay.Salionov@pmi.com; Sifal.Bekouche@pmi.com;</t>
  </si>
  <si>
    <t>DEL = Xavier.Lachat@pmi.com; DE = Xavier.Lachat@pmi.com; DN= Xavier.Lachat@pmi.com;; DA = Xavier.Lachat@pmi.com; DS = Xavier.Lachat@pmi.com;; C1 = Xavier.Lachat@pmi.com</t>
  </si>
  <si>
    <t>Hamlet.Unusyan@pmi.com; Tali.Maron-Dotan@pmi.com; Alexandr.Kozlov@pmi.com</t>
  </si>
  <si>
    <t>Germany (DE)</t>
  </si>
  <si>
    <t>michael.koeniger@pmi.com; carsten.rust@pmi.com; branislav.cvetkovic@pmi.com;</t>
  </si>
  <si>
    <t>DEL = Michael.Koeniger@pmi.com; DE = Michael.Koeniger@pmi.com; DN= Michael.Koeniger@pmi.com; DA = Michael.Koeniger@pmi.com; DS = Michael.Koeniger@pmi.com; C1 = Michael.Koeniger@pmi.com</t>
  </si>
  <si>
    <t>ewa.kloc-kulesza@pmi.com; Mariana.Simoes@pmi.com;</t>
  </si>
  <si>
    <t>DE / DEL = Kloc-Kulesza, Ewa; DN = Mackenthun, Scott; DA = Detroyat, Jacques; DS = Semenov, Andrey</t>
  </si>
  <si>
    <t>ewa.kloc-kulesza@pmi.com;</t>
  </si>
  <si>
    <t>Vasileios.Botopoulos@pmi.com; stathis.fasolis@pmi.com; Manos.Mitsis@pmi.com</t>
  </si>
  <si>
    <t>DEL = Manos.Mitsis@pmi.com; DE = Manos.Mitsis@pmi.com; DN= Manos.Mitsis@pmi.com; DA = Manos.Mitsis@pmi.com; DS = Manos.Mitsis@pmi.com; C1 = Manos.Mitsis@pmi.com</t>
  </si>
  <si>
    <t>leonardo.verrastro@pmi.com; Helder.DaSilva@pmi.com;</t>
  </si>
  <si>
    <t>India (IN)</t>
  </si>
  <si>
    <t>Ivana.Octavia@sampoerna.com ingrid.wijaya@sampoerna.com; Siauw.Engelica@sampoerna.com</t>
  </si>
  <si>
    <t>DEL = Ingrid.Wijaya@sampoerna.com; DE = Ivana.Octavia@sampoerna.com; DN= Julius.LeoWijaya@sampoerna.com; DA = Ingrid.Wijaya@sampoerna.com; DS = Julius.LeoWijaya@sampoerna.com; C1 = Jessica.Jodis@sampoerna.com</t>
  </si>
  <si>
    <t>Hamlet.Unusyan@pmi.com; Tali.Maron-Dotan@pmi.com; limor.greenwald@pmi.com</t>
  </si>
  <si>
    <t>Andrea.Guarnieri@pmi.com Nicola.Fogolin@pmi.com</t>
  </si>
  <si>
    <t>DEL = Andrea.Guarnieri@pmi.com; DE = Andrea.Guarnieri@pmi.com; DN= FoscoMaria.Borghese@pmi.com; DA = Andrea.Guarnieri@pmi.com; DS = Alessio.Palladino@pmi.com; C1 = Andrea.Guarnieri@pmi.com</t>
  </si>
  <si>
    <t>Bruna.Carvalho@pmi.com; Teresa.Fernandes@pmi.com; Robert.Coates@pmi.com; Przemyslaw.Dankiewicz@contracted.pmi.com</t>
  </si>
  <si>
    <t>Samatha.Arishetty@pmi.com; Sobitha.Buthgamuwa@pmi.com; Debraj.Patra@pmi.com; Danny.Chang@pmi.com</t>
  </si>
  <si>
    <t>DEL = Danny.Chang@pmi.com; DE =Danny.Chang@pmi.com; DN= Danny.Chang@pmi.com; DA = Danny.Chang@pmi.com; DS = Danny.Chang@pmi.com; C1 =Nishant.Tembulkar@pmi.com</t>
  </si>
  <si>
    <t>Asem.Zhiketova@pmi.com; Zhanna.Imanbekova@pmi.com;</t>
  </si>
  <si>
    <t>Michael.Kim@pmi.com; hyucksoon.lee@pmi.com; minjung.kim@pmi.com; Sobitha.Buthgamuwa@pmi.com;</t>
  </si>
  <si>
    <t>minjung.kim@pmi.com;</t>
  </si>
  <si>
    <t>Latvia (LV) / Lithuania (LT) / Estonia (ET)</t>
  </si>
  <si>
    <t>Jelena.Mirzojeva@pmi.com; Aliaksei.Karneyavets@pmi.com;</t>
  </si>
  <si>
    <t>Bjoern.Seifert@pmi.com; Carlos.Castillo1@pmi.com; Robert.Coates@pmi.com;</t>
  </si>
  <si>
    <t>DE / DEL = Castillo, Carlos E.; DN = Mackenthun, Scott; DA = Detroyat, Jacques; DS = Semenov, Andrey</t>
  </si>
  <si>
    <t>Sobitha.Buthgamuwa@pmi.com; WaiKong.Leong@pmi.com; manikam.nedumaran@contracted.pmi.com; CuiYin.Fong@pmi.com</t>
  </si>
  <si>
    <t>DEL = CuiYin.Fong@pmi.com; DE = CuiYin.Fong@pmi.com; DN= CuiYin.Fong@pmi.com; DA = CuiYin.Fong@pmi.com; DS = CuiYin.Fong@pmi.com; C1 = CuiYin.Fong@pmi.com</t>
  </si>
  <si>
    <t>Kloc-Kulesza, Ewa</t>
  </si>
  <si>
    <t>Ayushi.Jain@contracted.pmi.com; Levent.Asici@pmi.com;</t>
  </si>
  <si>
    <t>DEL = Levent.Asici@pmi.com; DE = Levent.Asici@pmi.com; DN= Levent.Asici@pmi.com; DA = Levent.Asici@pmi.com; DS = Levent.Asici@pmi.com; C1 = Levent.Asici@pmi.com</t>
  </si>
  <si>
    <t>MEA / RME - Middle East</t>
  </si>
  <si>
    <t>DEL = Daniel.Diaz@pmi.com; DE = Daniel.Diaz@pmi.com; DN= Alejandro.Hernandez1@pmi.com; DA = Daniel.Diaz@pmi.com; DS = Alejandro.Hernandez1@pmi.com; C1 =Daniel.Diaz@pmi.com</t>
  </si>
  <si>
    <t>oleh.ivchenko@pmi.com; nicolai.cerescu@pmi.com bohdan.prokopets@contracted.pmi.com; svitlana.tymoshchuk@contracted.pmi.com;</t>
  </si>
  <si>
    <t>DEL = oleh.ivchenko@pmi.com; DE = oleh.ivchenko@pmi.com; DN= Ecaterina.Sandrovschi@pmi.com; DA = oleh.ivchenko@pmi.com; DS = oleh.ivchenko@pmi.com; C1 =Tatiana.Spataru@pmi.com</t>
  </si>
  <si>
    <t>DEL = Mohammed.Abdelfattah@pmi.com; DE = Mohammed.Abdelfattah@pmi.com; DN= Mohamed.Tawfik@pmi.com; DA = Mohammed.Abdelfattah@pmi.com; DS = Mohamed.Tawfik@pmi.com; C1 = Mohamed.Tawfik@pmi.com</t>
  </si>
  <si>
    <t>natalia.polyakova@swma.se; erika.larsson@contracted.pmi.com; Sunanda.Ramakrishnan@pmi.com</t>
  </si>
  <si>
    <t>DEL = Solmaz.Azimi@swma.se; DE = Solmaz.Azimi@swma.se; DN= Alisea.MoyseenkoIsak sson@swma.se; DA = Felix.Lindhe@swma.se; DS = Natalia.Polyakova@swma.se; C1 = Sunanda.Ramakrishnan@pmi.com</t>
  </si>
  <si>
    <t>Monika.Mardaus@pmi.com; Bruna.Carvalho@pmi.com Teresa.Fernandes@pmi.com Przemyslaw.Dankiewicz@contracted.pmi.com</t>
  </si>
  <si>
    <t>ammar.ahmad@pmi.com; Wilhelm.Su@pmi.com; Hamza.Suhail@pmi.com Zainab.Imran@pmi.com</t>
  </si>
  <si>
    <t>DEL = Zainab.Imran@pmi.com; DE = Zainab.Imran@pmi.com; DN= Hamza.Suhail@pmi.com; DA = Zainab.Imran@pmi.com; DS = Hamza.Suhail@pmi.com; C1 = Hamza.Suhail@pmi.com</t>
  </si>
  <si>
    <t>wilhelm.su@pmi.com; Oleksandr.Onyshchenko@pmi.com;</t>
  </si>
  <si>
    <t>DEL = wilhelm.su@pmi.com; DE = wilhelm.su@pmi.com; DN= Nollie.Matienzo@pmi.com; DA = wilhelm.su@pmi.com; DS = AdityaAchadiat.Santoso@pmi.com; C1 = Sally.Baltazar-Puno@pmi.com</t>
  </si>
  <si>
    <t>jelena.mirzojeva@pmi.com; ludomir.mossakowski@pmi.com; Aliaksei.Karneyavets@pmi.com;</t>
  </si>
  <si>
    <t>DEL = Ludomir.Mossakowski@pmi.com; DE = Ludomir.Mossakowski@pmi.com; DN= Ludomir.Mossakowski@pmi.com; DA = Ludomir.Mossakowski@pmi.com; DS = Ludomir.Mossakowski@pmi.com; C1 = Ludomir.Mossakowski@pmi.com</t>
  </si>
  <si>
    <t>javier.corcuera@pmi.com; Daniel.Serrano@pmi.com; Diogo.alvario@pmi.com;</t>
  </si>
  <si>
    <t>DEL = diogo.algarvio@pmi.com; DE = diogo.algarvio@pmi.com; DN= andre.silva@pmi.com; DA = andre.silva@pmi.com; DS = andre.silva@pmi.com; C1 = andre.silva@pmi.com</t>
  </si>
  <si>
    <t>Barc, Jacek</t>
  </si>
  <si>
    <t>Bruna.Carvalho@pmi.com Teresa.Fernandes@pmi.com Robert.Coates@pmi.com; Przemyslaw.Dankiewicz@contracted.pmi.com</t>
  </si>
  <si>
    <t>Tjahjadi, Maria</t>
  </si>
  <si>
    <t>nenad.djordjevic@pmi.com; Milan.Kovacevic@pmi.com;</t>
  </si>
  <si>
    <t>DEL = Nenad.Djordjevic@pmi.com; DE = Nenad.Djordjevic@pmi.com; DN= Nenad.Djordjevic@pmi.com; DA = Nenad.Djordjevic@pmi.com; DS = Nenad.Djordjevic@pmi.com; C1 = Nemanja.Petrasinovic@pmi.com</t>
  </si>
  <si>
    <t>ivan.danilov@pmi.com</t>
  </si>
  <si>
    <t>mthokozisi.nhlabatsi@contracted.pmi.com; Mohammed.Abdelfattah@pmi.com;</t>
  </si>
  <si>
    <t>DEL = Pierre.Ndione@pmi.com; DE = Danja.Fiford@pmi.com; DN= Pierre.Ndione@pmi.com; DA = Kanny.Mbacke@pmi.com; DS = Pierre.Ndione@pmi.com; C1 = Kanny.Mbacke@pmi.com</t>
  </si>
  <si>
    <t>javier.corcuera@pmi.com; Daniel.Serrano@pmi.com; Diogo.Algarvio@pmi.com;</t>
  </si>
  <si>
    <t>DEL = diogo.algarvio@pmi.com; DE = diogo.algarvio@pmi.com; DN= Diana.Villamizar@pmi.com; DA = Diana.Villamizar@pmi.com; DS = Diana.Villamizar@pmi.com; C1 = Miguel.Sepulveda@pmi.com</t>
  </si>
  <si>
    <t>kirill.ivanov@pmi.com; ewa.kloc-kulesza@pmi.com; Mariana.Simoes@pmi.com;</t>
  </si>
  <si>
    <t>Cristina.Tsiambouris@pmi.com; Carlos.Castillo1@pmi.com;</t>
  </si>
  <si>
    <t>audrey.daboudet@pmi.com; jairo.garcia@pmi.com;</t>
  </si>
  <si>
    <t>DEL = Audrey.Daboudet@pmi.com; DE = Audrey.Daboudet@pmi.com; DN= Audrey.Daboudet@pmi.com; DA = Audrey.Daboudet@pmi.com; DS = Audrey.Daboudet@pmi.com; C1 = Audrey.Daboudet@pmi.com</t>
  </si>
  <si>
    <t>ping.gu@pmi.com; YT.Chen@pmi.com;</t>
  </si>
  <si>
    <t>DEL = MinJung.Kim@pmi.com; DE = MinJung.Kim@pmi.com; DN= MinJung.Kim@pmi.com; DA = MinJung.Kim@pmi.com; DS = MinJung.Kim@pmi.com; C1 = MinJung.Kim@pmi.com</t>
  </si>
  <si>
    <t>meteerat.taneerat@pmi.com; trinhhuutai.le@vpmbr.com.vn; CharlesCedric.Tanedo@pmi.com</t>
  </si>
  <si>
    <t>DEL = CharlesCedric.Tanedo@pmi.com; DE = CharlesCedric.Tanedo@pmi.com; DN= CharlesCedric.Tanedo@pmi.com; DA = CharlesCedric.Tanedo@pmi.com; DS = CharlesCedric.Tanedo@pmi.com; C1 = CharlesCedric.Tanedo@pmi.com</t>
  </si>
  <si>
    <t>Simge.Yildirim@pmi.com; AkilayAhmet.Ispirlioglu@pmi.com;</t>
  </si>
  <si>
    <t>DEL = Simge.Yildirim@pmi.com; DE = MelikeIrem.Senturk@pmi.com; DN= Simge.Yildirim@pmi.com; DA = Celal.Tangal@pmi.com; DS = Mustafa.Kose@pmi.com; C1 = MelikeIrem.Senturk@pmi.com</t>
  </si>
  <si>
    <t>oleh.ivchenko@pmi.com; bohdan.prokopets@contracted.pmi.com; Viktoriia.Olefir@pmi.com Stanislav.Leshchenko@pmi.com</t>
  </si>
  <si>
    <t>DEL = oleh.ivchenko@pmi.com; DE = Stanislav.Leshchenko@pmi.com; DN= Stanislav.Leshchenko@pmi.com; DA = Stanislav.Leshchenko@pmi.com; DS = Stanislav.Leshchenko@pmi.com; C1 =Viktoriia.Olefir@pmi.com</t>
  </si>
  <si>
    <t>Nikolay.Salionov@pmi.com; Guilherme.Pedroso@pmi.com;</t>
  </si>
  <si>
    <t>DEL = Guilherme.Pedroso@pmi.com; DE = Guilherme.Pedroso@pmi.com; DN= Guilherme.Pedroso@pmi.com; DA = Guilherme.Pedroso@pmi.com; DS = Guilherme.Pedroso@pmi.com; C1 = Guilherme.Pedroso@pmi.com</t>
  </si>
  <si>
    <t>gabriel.guzman@pmi.com; Juan.GezDiLizio@pmi.com; Gonzalo.DiTullio@pmi.com;</t>
  </si>
  <si>
    <t>Rafik.Bhura@smpmi.com; Rasik.Kotadia@smpmi.com; AnjiReddy.Gade@smpmi.com; Cerina.Lynne@smpmi.com</t>
  </si>
  <si>
    <t>DEL = Rafik.Bhura@smpmi.com; DE = Rafik.Bhura@smpmi.com; DN= Sheetal.Nayyar@smpmi.com; DA = AnjiReddy.Gade@smpmi.com; DS = Kyle.VanderBush@smpmi.com; C1 =Cerina.Lynne@smpmi.com</t>
  </si>
  <si>
    <t>Rafik.Bhura@smpmi.com;</t>
  </si>
  <si>
    <t>Zbeerka (EE) / Others</t>
  </si>
  <si>
    <t>oleh.ivchenko@pmi.com; maksym.nechytailo@contracted.pmi.com; Mykola.Samarin@pmi.com DLPMITRISBI.IMDL@pmi.com; sofia.jorgensen@pmi.com; DLPMIINDpaasRunandSupport@pmi.com; Katarzyna.Wylezol@pmi.com;</t>
  </si>
  <si>
    <t>DEL = oleh.ivchenko@pmi.com; DE = oleh.ivchenko@pmi.com; DN= oleh.ivchenko@pmi.com; DA = oleh.ivchenko@pmi.com; DS = oleh.ivchenko@pmi.com; C1 = oleh.ivchenko@pmi.com</t>
  </si>
  <si>
    <t>clean identifier</t>
  </si>
  <si>
    <t/>
  </si>
  <si>
    <t>CZ</t>
  </si>
  <si>
    <t>IQAR</t>
  </si>
  <si>
    <t>MY</t>
  </si>
  <si>
    <t>SEE Cluster</t>
  </si>
  <si>
    <t>CSSA</t>
  </si>
  <si>
    <t>single email</t>
  </si>
  <si>
    <t>Clean Email</t>
  </si>
  <si>
    <t>Cristina.Tsiambouris@pmi.com</t>
  </si>
  <si>
    <t>Sobitha.Buthgamuwa@pmi.com</t>
  </si>
  <si>
    <t>monika.urbanaviciute@pmi.com</t>
  </si>
  <si>
    <t>Thanassis.Sagriotis@pmi.com</t>
  </si>
  <si>
    <t>martin.snizek@pmi.com</t>
  </si>
  <si>
    <t>Marwa.Kouriat@pmi.com</t>
  </si>
  <si>
    <t>ewa.kloc-kulesza@pmi.com</t>
  </si>
  <si>
    <t>leonardo.verrastro@pmi.com</t>
  </si>
  <si>
    <t>Michael.Kim@pmi.com</t>
  </si>
  <si>
    <t>Ayushi.Jain@contracted.pmi.com</t>
  </si>
  <si>
    <t>DLPMIGlobalITRegion2DataSupport@pmi.com</t>
  </si>
  <si>
    <t>daniel.diaz@pmi.com</t>
  </si>
  <si>
    <t>Monika.Mardaus@pmi.com</t>
  </si>
  <si>
    <t>wilhelm.su@pmi.com</t>
  </si>
  <si>
    <t>javier.corcuera@pmi.com</t>
  </si>
  <si>
    <t>audrey.daboudet@pmi.com</t>
  </si>
  <si>
    <t>meteerat.taneerat@pmi.com</t>
  </si>
  <si>
    <t>Nikolay.Salionov@pmi.com</t>
  </si>
  <si>
    <t>gabriel.guzman@pmi.com</t>
  </si>
  <si>
    <t>Rafik.Bhura@smpmi.com</t>
  </si>
  <si>
    <t>single IMDL</t>
  </si>
  <si>
    <t>FI for Country Code</t>
  </si>
  <si>
    <t>RS for country code</t>
  </si>
  <si>
    <t>Country </t>
  </si>
  <si>
    <t>United Kingdom </t>
  </si>
  <si>
    <t>Indonesia </t>
  </si>
  <si>
    <t>Germany </t>
  </si>
  <si>
    <t>Finland </t>
  </si>
  <si>
    <t>Morocco </t>
  </si>
  <si>
    <t>Libya </t>
  </si>
  <si>
    <t>Tunisia </t>
  </si>
  <si>
    <t>South Africa </t>
  </si>
  <si>
    <t>Reunion </t>
  </si>
  <si>
    <t>Austria </t>
  </si>
  <si>
    <t>Luxembourg </t>
  </si>
  <si>
    <t>Belgium </t>
  </si>
  <si>
    <t>Philippines </t>
  </si>
  <si>
    <t>Jordan </t>
  </si>
  <si>
    <t>Egypt </t>
  </si>
  <si>
    <t>Palestine </t>
  </si>
  <si>
    <t>Malaysia </t>
  </si>
  <si>
    <t>Czech Republic </t>
  </si>
  <si>
    <t>Slovakia </t>
  </si>
  <si>
    <t>Azerbaijan </t>
  </si>
  <si>
    <t>Japan </t>
  </si>
  <si>
    <t>Republic of Kosovo </t>
  </si>
  <si>
    <t>Iraq </t>
  </si>
  <si>
    <t>United Arab Emirates </t>
  </si>
  <si>
    <t>Portugal </t>
  </si>
  <si>
    <t>Andorra </t>
  </si>
  <si>
    <t>USA </t>
  </si>
  <si>
    <t>Mexico </t>
  </si>
  <si>
    <t>France </t>
  </si>
  <si>
    <t>Taiwan </t>
  </si>
  <si>
    <t>Slovenia </t>
  </si>
  <si>
    <t>Croatia </t>
  </si>
  <si>
    <t>Malta </t>
  </si>
  <si>
    <t>Dominican Republic </t>
  </si>
  <si>
    <t>Ecuador </t>
  </si>
  <si>
    <t>Guatemala </t>
  </si>
  <si>
    <t>Costa Rica </t>
  </si>
  <si>
    <t>Kyrgyzstan </t>
  </si>
  <si>
    <t>Pakistan </t>
  </si>
  <si>
    <t>Bhutan </t>
  </si>
  <si>
    <t>Cambodia*</t>
  </si>
  <si>
    <t>Maldives </t>
  </si>
  <si>
    <t>Distinct Account Locator</t>
  </si>
  <si>
    <t>Account locator used</t>
  </si>
  <si>
    <t>this was Kazakhstan not Kyrgyzstan</t>
  </si>
  <si>
    <t>this was Cyprus</t>
  </si>
  <si>
    <t>country_name</t>
  </si>
  <si>
    <t>account_locator</t>
  </si>
  <si>
    <t>identifier</t>
  </si>
  <si>
    <t>email</t>
  </si>
  <si>
    <t>email_single</t>
  </si>
  <si>
    <t>Solmaz.Azimi@swma.se</t>
  </si>
  <si>
    <t>to FI</t>
  </si>
  <si>
    <t>SI</t>
  </si>
  <si>
    <t>BE</t>
  </si>
  <si>
    <t>Ingrid.Wijaya@sampoerna.com</t>
  </si>
  <si>
    <t>EC</t>
  </si>
  <si>
    <t>GB</t>
  </si>
  <si>
    <t>Michael.Koeniger@pmi.com</t>
  </si>
  <si>
    <t>AE</t>
  </si>
  <si>
    <t>diogo.algarvio@pmi.com</t>
  </si>
  <si>
    <t xml:space="preserve">CZ&amp;SK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</si>
</sst>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yusuf5\Downloads\CODE_LOCAL\CoratCoret\Books1.xlsx" TargetMode="External"/><Relationship Id="rId1" Type="http://schemas.openxmlformats.org/officeDocument/2006/relationships/externalLinkPath" Target="CODE_LOCAL/CoratCoret/Book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IC"/>
    </sheetNames>
    <sheetDataSet>
      <sheetData sheetId="0">
        <row r="2">
          <cell r="C2" t="str">
            <v>TW</v>
          </cell>
        </row>
        <row r="3">
          <cell r="C3" t="str">
            <v>AM</v>
          </cell>
        </row>
        <row r="4">
          <cell r="C4" t="str">
            <v>MA</v>
          </cell>
        </row>
        <row r="5">
          <cell r="C5" t="str">
            <v>AT</v>
          </cell>
        </row>
        <row r="6">
          <cell r="C6" t="str">
            <v>CNRD</v>
          </cell>
        </row>
        <row r="7">
          <cell r="C7" t="str">
            <v>JP</v>
          </cell>
        </row>
        <row r="8">
          <cell r="C8" t="str">
            <v>AZ</v>
          </cell>
        </row>
        <row r="9">
          <cell r="C9" t="str">
            <v>US</v>
          </cell>
        </row>
        <row r="10">
          <cell r="C10" t="str">
            <v>CCSL</v>
          </cell>
        </row>
        <row r="12">
          <cell r="C12" t="str">
            <v>CBNL</v>
          </cell>
        </row>
        <row r="13">
          <cell r="C13" t="str">
            <v>CCSL</v>
          </cell>
        </row>
        <row r="14">
          <cell r="C14" t="str">
            <v>MX</v>
          </cell>
        </row>
        <row r="15">
          <cell r="C15" t="str">
            <v>PK</v>
          </cell>
        </row>
        <row r="16">
          <cell r="C16" t="str">
            <v>EG</v>
          </cell>
        </row>
        <row r="17">
          <cell r="C17" t="str">
            <v>CZSK</v>
          </cell>
        </row>
        <row r="18">
          <cell r="C18" t="str">
            <v>CBNL</v>
          </cell>
        </row>
        <row r="19">
          <cell r="C19" t="str">
            <v>ID</v>
          </cell>
        </row>
        <row r="20">
          <cell r="C20" t="str">
            <v>PH</v>
          </cell>
        </row>
        <row r="21">
          <cell r="C21" t="str">
            <v>EG</v>
          </cell>
        </row>
        <row r="23">
          <cell r="C23" t="str">
            <v>MA</v>
          </cell>
        </row>
        <row r="24">
          <cell r="C24" t="str">
            <v>RAN</v>
          </cell>
        </row>
        <row r="25">
          <cell r="C25" t="str">
            <v>CME</v>
          </cell>
        </row>
        <row r="26">
          <cell r="C26" t="str">
            <v>UK</v>
          </cell>
        </row>
        <row r="27">
          <cell r="C27" t="str">
            <v>EG</v>
          </cell>
        </row>
        <row r="28">
          <cell r="C28" t="str">
            <v>DE</v>
          </cell>
        </row>
        <row r="30">
          <cell r="C30" t="str">
            <v>MA</v>
          </cell>
        </row>
        <row r="31">
          <cell r="C31" t="str">
            <v>CME</v>
          </cell>
        </row>
        <row r="32">
          <cell r="C32" t="str">
            <v>FR</v>
          </cell>
        </row>
        <row r="33">
          <cell r="C33" t="str">
            <v>CZSK</v>
          </cell>
        </row>
        <row r="35">
          <cell r="C35" t="str">
            <v>PT</v>
          </cell>
        </row>
      </sheetData>
      <sheetData sheetId="1">
        <row r="1">
          <cell r="D1" t="str">
            <v>clean identifier</v>
          </cell>
          <cell r="E1" t="str">
            <v>Clean Email</v>
          </cell>
        </row>
        <row r="2">
          <cell r="D2" t="str">
            <v>RAN</v>
          </cell>
          <cell r="E2" t="str">
            <v>Laura.PerezMonge@pmi.com</v>
          </cell>
        </row>
        <row r="3">
          <cell r="D3" t="str">
            <v>AM</v>
          </cell>
          <cell r="E3" t="str">
            <v>Hamlet.Unusyan@pmi.com</v>
          </cell>
        </row>
        <row r="4">
          <cell r="D4" t="str">
            <v/>
          </cell>
          <cell r="E4" t="str">
            <v/>
          </cell>
        </row>
        <row r="5">
          <cell r="D5" t="str">
            <v>AU</v>
          </cell>
          <cell r="E5" t="str">
            <v>Sobitha.Buthgamuwa@pmi.com</v>
          </cell>
        </row>
        <row r="6">
          <cell r="D6" t="str">
            <v>AT</v>
          </cell>
          <cell r="E6" t="str">
            <v>Ankit.Rohatgi@pmi.com</v>
          </cell>
        </row>
        <row r="7">
          <cell r="D7" t="str">
            <v>AZ</v>
          </cell>
          <cell r="E7" t="str">
            <v>Hamlet.Unusyan@pmi.com</v>
          </cell>
        </row>
        <row r="8">
          <cell r="D8" t="str">
            <v>CBLT</v>
          </cell>
          <cell r="E8" t="str">
            <v>Aliaksei.Karneyavets@pmi.com</v>
          </cell>
        </row>
        <row r="9">
          <cell r="D9" t="str">
            <v>CBNL</v>
          </cell>
          <cell r="E9" t="str">
            <v>stefan.verschelden@pmi.com</v>
          </cell>
        </row>
        <row r="10">
          <cell r="D10" t="str">
            <v>BG</v>
          </cell>
          <cell r="E10" t="str">
            <v>Sabina.Rakova@pmi.com</v>
          </cell>
        </row>
        <row r="11">
          <cell r="D11" t="str">
            <v>BR</v>
          </cell>
          <cell r="E11" t="str">
            <v>jonas.cruz@pmi.com</v>
          </cell>
        </row>
        <row r="12">
          <cell r="D12" t="str">
            <v>KH</v>
          </cell>
          <cell r="E12" t="str">
            <v/>
          </cell>
        </row>
        <row r="13">
          <cell r="D13" t="str">
            <v>CA</v>
          </cell>
          <cell r="E13" t="str">
            <v>Preeti.Matkar@rbhinc.ca</v>
          </cell>
        </row>
        <row r="14">
          <cell r="D14" t="str">
            <v>CCAR</v>
          </cell>
          <cell r="E14" t="str">
            <v/>
          </cell>
        </row>
        <row r="15">
          <cell r="D15" t="str">
            <v>COMM</v>
          </cell>
          <cell r="E15" t="str">
            <v>Saputra, Ricky Anders</v>
          </cell>
        </row>
        <row r="16">
          <cell r="D16" t="str">
            <v>CONS</v>
          </cell>
          <cell r="E16" t="str">
            <v>Salim, Paulus Indra</v>
          </cell>
        </row>
        <row r="17">
          <cell r="D17" t="str">
            <v>CORP</v>
          </cell>
          <cell r="E17" t="str">
            <v>Fernandes, Teresa</v>
          </cell>
        </row>
        <row r="18">
          <cell r="D18" t="str">
            <v>CCSL</v>
          </cell>
          <cell r="E18" t="str">
            <v>Danijal.Morankic@pmi.com</v>
          </cell>
        </row>
        <row r="19">
          <cell r="D19" t="str">
            <v>CY</v>
          </cell>
          <cell r="E19" t="str">
            <v>Kyriaki.Hadjiossif@pmi.com</v>
          </cell>
        </row>
        <row r="20">
          <cell r="D20" t="str">
            <v>CZSK</v>
          </cell>
          <cell r="E20" t="str">
            <v>Adam.Cellar@pmi.com</v>
          </cell>
        </row>
        <row r="21">
          <cell r="D21" t="str">
            <v>FDF</v>
          </cell>
          <cell r="E21" t="str">
            <v>Andre.ElKhoury@pmi.com</v>
          </cell>
        </row>
        <row r="22">
          <cell r="D22" t="str">
            <v>FEA</v>
          </cell>
          <cell r="E22" t="str">
            <v>Kamil.Trzepizur@pmi.com</v>
          </cell>
        </row>
        <row r="23">
          <cell r="D23" t="str">
            <v>EG</v>
          </cell>
          <cell r="E23" t="str">
            <v>Mohammed.Abdelfattah@pmi.com</v>
          </cell>
        </row>
        <row r="24">
          <cell r="D24" t="str">
            <v>FAD</v>
          </cell>
          <cell r="E24" t="str">
            <v/>
          </cell>
        </row>
        <row r="25">
          <cell r="D25" t="str">
            <v>FINC</v>
          </cell>
          <cell r="E25" t="str">
            <v>Fernandes, Teresa</v>
          </cell>
        </row>
        <row r="26">
          <cell r="D26" t="str">
            <v>FR</v>
          </cell>
          <cell r="E26" t="str">
            <v>Xavier.Lachat@pmi.com</v>
          </cell>
        </row>
        <row r="27">
          <cell r="D27" t="str">
            <v>FCD</v>
          </cell>
          <cell r="E27" t="str">
            <v>Kamil.Trzepizur@pmi.com</v>
          </cell>
        </row>
        <row r="28">
          <cell r="D28" t="str">
            <v>FCT</v>
          </cell>
          <cell r="E28" t="str">
            <v>Kamil.Trzepizur@pmi.com</v>
          </cell>
        </row>
        <row r="29">
          <cell r="D29" t="str">
            <v>GE</v>
          </cell>
          <cell r="E29" t="str">
            <v>Hamlet.Unusyan@pmi.com</v>
          </cell>
        </row>
        <row r="30">
          <cell r="D30" t="str">
            <v>DE</v>
          </cell>
          <cell r="E30" t="str">
            <v>Michael.Koeniger@pmi.com</v>
          </cell>
        </row>
        <row r="31">
          <cell r="D31" t="str">
            <v/>
          </cell>
          <cell r="E31" t="str">
            <v>Kloc-Kulesza, Ewa</v>
          </cell>
        </row>
        <row r="32">
          <cell r="D32" t="str">
            <v>GR</v>
          </cell>
          <cell r="E32" t="str">
            <v>Manos.Mitsis@pmi.com</v>
          </cell>
        </row>
        <row r="33">
          <cell r="D33" t="str">
            <v>IQAR</v>
          </cell>
          <cell r="E33" t="str">
            <v/>
          </cell>
        </row>
        <row r="34">
          <cell r="D34" t="str">
            <v>IN</v>
          </cell>
          <cell r="E34" t="str">
            <v/>
          </cell>
        </row>
        <row r="35">
          <cell r="D35" t="str">
            <v>ID</v>
          </cell>
          <cell r="E35" t="str">
            <v>Ingrid.Wijaya@sampoerna.com</v>
          </cell>
        </row>
        <row r="36">
          <cell r="D36" t="str">
            <v>IL</v>
          </cell>
          <cell r="E36" t="str">
            <v>Hamlet.Unusyan@pmi.com</v>
          </cell>
        </row>
        <row r="37">
          <cell r="D37" t="str">
            <v>IT</v>
          </cell>
          <cell r="E37" t="str">
            <v>Andrea.Guarnieri@pmi.com</v>
          </cell>
        </row>
        <row r="38">
          <cell r="D38" t="str">
            <v>INSC</v>
          </cell>
          <cell r="E38" t="str">
            <v>Fernandes, Teresa</v>
          </cell>
        </row>
        <row r="39">
          <cell r="D39" t="str">
            <v>ITMG</v>
          </cell>
          <cell r="E39" t="str">
            <v>Fernandes, Teresa</v>
          </cell>
        </row>
        <row r="40">
          <cell r="D40" t="str">
            <v>JP</v>
          </cell>
          <cell r="E40" t="str">
            <v>Danny.Chang@pmi.com</v>
          </cell>
        </row>
        <row r="41">
          <cell r="D41" t="str">
            <v>KZ</v>
          </cell>
          <cell r="E41" t="str">
            <v/>
          </cell>
        </row>
        <row r="42">
          <cell r="D42" t="str">
            <v>KR</v>
          </cell>
          <cell r="E42" t="str">
            <v/>
          </cell>
        </row>
        <row r="43">
          <cell r="D43" t="str">
            <v>LV</v>
          </cell>
          <cell r="E43" t="str">
            <v/>
          </cell>
        </row>
        <row r="44">
          <cell r="D44" t="str">
            <v>LFSC</v>
          </cell>
          <cell r="E44" t="str">
            <v>Castillo, Carlos E.</v>
          </cell>
        </row>
        <row r="45">
          <cell r="D45" t="str">
            <v>MY</v>
          </cell>
          <cell r="E45" t="str">
            <v>CuiYin.Fong@pmi.com</v>
          </cell>
        </row>
        <row r="46">
          <cell r="D46" t="str">
            <v>MNFG</v>
          </cell>
          <cell r="E46" t="str">
            <v>Kloc-Kulesza, Ewa</v>
          </cell>
        </row>
        <row r="47">
          <cell r="D47" t="str">
            <v>CME</v>
          </cell>
          <cell r="E47" t="str">
            <v>Levent.Asici@pmi.com</v>
          </cell>
        </row>
        <row r="48">
          <cell r="D48" t="str">
            <v/>
          </cell>
          <cell r="E48" t="str">
            <v/>
          </cell>
        </row>
        <row r="49">
          <cell r="D49" t="str">
            <v>MX</v>
          </cell>
          <cell r="E49" t="str">
            <v>Daniel.Diaz@pmi.com</v>
          </cell>
        </row>
        <row r="50">
          <cell r="D50" t="str">
            <v>MD</v>
          </cell>
          <cell r="E50" t="str">
            <v>oleh.ivchenko@pmi.com</v>
          </cell>
        </row>
        <row r="51">
          <cell r="D51" t="str">
            <v>MA</v>
          </cell>
          <cell r="E51" t="str">
            <v>Mohammed.Abdelfattah@pmi.com</v>
          </cell>
        </row>
        <row r="52">
          <cell r="D52" t="str">
            <v>CNRD</v>
          </cell>
          <cell r="E52" t="str">
            <v>Solmaz.Azimi@swma.se</v>
          </cell>
        </row>
        <row r="53">
          <cell r="D53" t="str">
            <v>PNCL</v>
          </cell>
          <cell r="E53" t="str">
            <v>Fernandes, Teresa</v>
          </cell>
        </row>
        <row r="54">
          <cell r="D54" t="str">
            <v>PK</v>
          </cell>
          <cell r="E54" t="str">
            <v>Zainab.Imran@pmi.com</v>
          </cell>
        </row>
        <row r="55">
          <cell r="D55" t="str">
            <v>PH</v>
          </cell>
          <cell r="E55" t="str">
            <v>wilhelm.su@pmi.com</v>
          </cell>
        </row>
        <row r="56">
          <cell r="D56" t="str">
            <v>PL</v>
          </cell>
          <cell r="E56" t="str">
            <v>Ludomir.Mossakowski@pmi.com</v>
          </cell>
        </row>
        <row r="57">
          <cell r="D57" t="str">
            <v>PT</v>
          </cell>
          <cell r="E57" t="str">
            <v>diogo.algarvio@pmi.com</v>
          </cell>
        </row>
        <row r="58">
          <cell r="D58" t="str">
            <v>PROC</v>
          </cell>
          <cell r="E58" t="str">
            <v>Kloc-Kulesza, Ewa</v>
          </cell>
        </row>
        <row r="59">
          <cell r="D59" t="str">
            <v>CRND</v>
          </cell>
          <cell r="E59" t="str">
            <v>Kloc-Kulesza, Ewa</v>
          </cell>
        </row>
        <row r="60">
          <cell r="D60" t="str">
            <v>RISK</v>
          </cell>
          <cell r="E60" t="str">
            <v>Fernandes, Teresa</v>
          </cell>
        </row>
        <row r="61">
          <cell r="D61" t="str">
            <v>SEE Cluster</v>
          </cell>
          <cell r="E61" t="str">
            <v>Nenad.Djordjevic@pmi.com</v>
          </cell>
        </row>
        <row r="62">
          <cell r="D62" t="str">
            <v>CSSA</v>
          </cell>
          <cell r="E62" t="str">
            <v>Pierre.Ndione@pmi.com</v>
          </cell>
        </row>
        <row r="63">
          <cell r="D63" t="str">
            <v>ES</v>
          </cell>
          <cell r="E63" t="str">
            <v>diogo.algarvio@pmi.com</v>
          </cell>
        </row>
        <row r="64">
          <cell r="D64" t="str">
            <v>SPCH</v>
          </cell>
          <cell r="E64" t="str">
            <v>Kloc-Kulesza, Ewa</v>
          </cell>
        </row>
        <row r="65">
          <cell r="D65" t="str">
            <v>SUST</v>
          </cell>
          <cell r="E65" t="str">
            <v>Castillo, Carlos E.</v>
          </cell>
        </row>
        <row r="66">
          <cell r="D66" t="str">
            <v>CH</v>
          </cell>
          <cell r="E66" t="str">
            <v>Audrey.Daboudet@pmi.com</v>
          </cell>
        </row>
        <row r="67">
          <cell r="D67" t="str">
            <v>TW</v>
          </cell>
          <cell r="E67" t="str">
            <v>MinJung.Kim@pmi.com</v>
          </cell>
        </row>
        <row r="68">
          <cell r="D68" t="str">
            <v>TH</v>
          </cell>
          <cell r="E68" t="str">
            <v>CharlesCedric.Tanedo@pmi.com</v>
          </cell>
        </row>
        <row r="69">
          <cell r="D69" t="str">
            <v/>
          </cell>
          <cell r="E69" t="str">
            <v>Simge.Yildirim@pmi.com</v>
          </cell>
        </row>
        <row r="70">
          <cell r="D70" t="str">
            <v>UA</v>
          </cell>
          <cell r="E70" t="str">
            <v>oleh.ivchenko@pmi.com</v>
          </cell>
        </row>
        <row r="71">
          <cell r="D71" t="str">
            <v>UK</v>
          </cell>
          <cell r="E71" t="str">
            <v>Guilherme.Pedroso@pmi.com</v>
          </cell>
        </row>
        <row r="72">
          <cell r="D72" t="str">
            <v>UY</v>
          </cell>
          <cell r="E72" t="str">
            <v/>
          </cell>
        </row>
        <row r="73">
          <cell r="D73" t="str">
            <v>US</v>
          </cell>
          <cell r="E73" t="str">
            <v>Rafik.Bhura@smpmi.com</v>
          </cell>
        </row>
        <row r="74">
          <cell r="D74" t="str">
            <v>EE</v>
          </cell>
          <cell r="E74" t="str">
            <v>oleh.ivchenko@pmi.com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usuf, Yudha Cipta Maulana" id="{373753E3-12C9-4FDB-BA4B-C6A0117F87CB}" userId="S::yyusuf5@PMINTL.NET::a3491986-0314-485e-a13a-d72624885be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BBCDCC-3B55-45DD-8D4F-0752EA8A8500}" name="DataTable" displayName="DataTable" ref="B1:R84" totalsRowShown="0">
  <autoFilter ref="B1:R84" xr:uid="{17BBCDCC-3B55-45DD-8D4F-0752EA8A8500}"/>
  <tableColumns count="17">
    <tableColumn id="1" xr3:uid="{7D743F6E-1C43-4477-B901-2D6109EC5311}" name="Number"/>
    <tableColumn id="2" xr3:uid="{6F5AC2EA-58EA-40D4-9F34-2D985DA99D33}" name="Region"/>
    <tableColumn id="3" xr3:uid="{A81C540A-B308-4427-9A47-AE4AB762F74B}" name="Node Driver"/>
    <tableColumn id="4" xr3:uid="{F6F866AC-21E9-4F48-B1A1-25C9202D4922}" name="Identifier"/>
    <tableColumn id="5" xr3:uid="{279F1882-0221-46E1-8B33-2F956BE72EE9}" name="Account locator url"/>
    <tableColumn id="6" xr3:uid="{E48CB44C-D9C2-45C9-90B7-88CAFB75C99E}" name="Account url"/>
    <tableColumn id="7" xr3:uid="{2427CB19-DD52-452F-BF72-894EBEB261A1}" name="Account Locator"/>
    <tableColumn id="8" xr3:uid="{7CE96439-3E79-4AF0-9DEE-769A74AFCE28}" name="Node Type"/>
    <tableColumn id="9" xr3:uid="{A630C80E-A81C-4C22-8704-86783CE6ABAC}" name="domain"/>
    <tableColumn id="10" xr3:uid="{FBCEEED6-DC0E-4465-A9FF-0B8D0FDFFB9E}" name="Node subtype"/>
    <tableColumn id="11" xr3:uid="{15F108BE-CD2E-48DA-9085-836994A7E9BA}" name="Architecture"/>
    <tableColumn id="12" xr3:uid="{2024FED4-A07B-42E0-9CCA-3263ADD9EC1E}" name="Ol Markets Finance"/>
    <tableColumn id="13" xr3:uid="{C2F86B7F-DDB9-4C87-9A54-F9CE733CB437}" name="Arch Upgrade Activity"/>
    <tableColumn id="14" xr3:uid="{53A9C3F1-35FB-484F-B400-B379FDF6E603}" name="Lean IX ID"/>
    <tableColumn id="15" xr3:uid="{A0BA526C-A1AF-4B4E-B143-8624DE41C425}" name="ACM"/>
    <tableColumn id="16" xr3:uid="{3AFF45C6-C544-42F9-9D6C-1EB11DA9454F}" name="Azure AD APP name"/>
    <tableColumn id="17" xr3:uid="{9C99D7C5-EE1F-433D-B043-BCF79A49E0FE}" name="Azure AD app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D1BE08-D42B-44EF-9434-318CCF776E6C}" name="DataTable3" displayName="DataTable3" ref="A1:Q76" totalsRowShown="0">
  <autoFilter ref="A1:Q76" xr:uid="{17BBCDCC-3B55-45DD-8D4F-0752EA8A8500}"/>
  <tableColumns count="17">
    <tableColumn id="1" xr3:uid="{9FDA255B-7D6A-4C12-A275-6254717398F2}" name="Number"/>
    <tableColumn id="18" xr3:uid="{18E9EAEC-12F2-43EF-8D62-C759E0385593}" name="Region Trim" dataDxfId="9"/>
    <tableColumn id="3" xr3:uid="{8007884E-A13E-4AE6-9595-834ECA7E73DF}" name="Node Driver"/>
    <tableColumn id="4" xr3:uid="{C89B3576-838A-4377-9127-BAEBB7588955}" name="Identifier"/>
    <tableColumn id="5" xr3:uid="{4E85D761-0837-404E-807A-B161B5D1FD32}" name="Account locator url"/>
    <tableColumn id="6" xr3:uid="{082C8CF2-0FD4-4CBB-8143-B62B0A76FCA3}" name="Account url"/>
    <tableColumn id="7" xr3:uid="{1076D6DA-15C5-41AF-916D-7448841E46BD}" name="Account Locator"/>
    <tableColumn id="8" xr3:uid="{967435E8-1EFD-4CAF-9ADD-1E2C339764BF}" name="Node Type"/>
    <tableColumn id="9" xr3:uid="{5CC0CAD1-60D8-432A-9CAB-270B538931AD}" name="domain"/>
    <tableColumn id="10" xr3:uid="{6DE41400-21F0-439B-9351-ED3E1578E598}" name="Node subtype"/>
    <tableColumn id="11" xr3:uid="{A132035E-6B44-4561-9B68-EA3A198D52CB}" name="Architecture"/>
    <tableColumn id="12" xr3:uid="{8EF78464-1E90-462D-97FC-AC012ACD344C}" name="Ol Markets Finance"/>
    <tableColumn id="13" xr3:uid="{10CD10BF-EC79-4EB5-8273-76604679F319}" name="Arch Upgrade Activity"/>
    <tableColumn id="14" xr3:uid="{843E0491-D841-4ED9-9956-D5D2A2A52E26}" name="Lean IX ID"/>
    <tableColumn id="15" xr3:uid="{2EB6DC35-64E7-4280-8821-F78088AACED1}" name="ACM"/>
    <tableColumn id="16" xr3:uid="{6500B38D-CDA3-4B74-988D-712C75D79C6F}" name="Azure AD APP name"/>
    <tableColumn id="17" xr3:uid="{6E107FC4-E817-4638-BB04-1AEC9CC73E78}" name="Azure AD app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5AED39-66A1-4792-BD23-C0025214A80C}" name="PIC_Table" displayName="PIC_Table" ref="A1:P74" totalsRowShown="0">
  <autoFilter ref="A1:P74" xr:uid="{B15AED39-66A1-4792-BD23-C0025214A80C}"/>
  <tableColumns count="16">
    <tableColumn id="1" xr3:uid="{D3B8F678-9CCC-42AE-8446-A05DF768011E}" name="Type"/>
    <tableColumn id="2" xr3:uid="{428F1909-F60D-4DDD-BD6D-DA31756463E2}" name="Market/Function"/>
    <tableColumn id="12" xr3:uid="{C034272E-9D80-4B86-9D09-0FD85A8FB827}" name="Identifier" dataDxfId="8">
      <calculatedColumnFormula>IF(ISNUMBER(FIND("(",B2)),MID(B2,FIND("(",B2)+1,FIND(")",B2)-FIND("(",B2)-1),"")</calculatedColumnFormula>
    </tableColumn>
    <tableColumn id="13" xr3:uid="{0C423C23-CC9F-4445-97E6-934F003C0358}" name="clean identifier"/>
    <tableColumn id="15" xr3:uid="{CA1F1390-2B80-4AF3-8AC9-53E571324454}" name="Clean Email"/>
    <tableColumn id="14" xr3:uid="{BB6B2E82-54CA-4CDA-B180-22FE753F9CEC}" name="single email">
      <calculatedColumnFormula>IF(G2="","",TRIM(IF(ISNUMBER(FIND(";",G2)),LEFT(G2,FIND(";",G2)-1),G2)))</calculatedColumnFormula>
    </tableColumn>
    <tableColumn id="3" xr3:uid="{AE8EC91C-A918-40E6-B807-AFE8143E845B}" name="SPOC/Distribution List"/>
    <tableColumn id="4" xr3:uid="{C172797D-6AE2-4A3B-B962-5541CA038587}" name="Head of DI&amp;A"/>
    <tableColumn id="5" xr3:uid="{BC148E2A-16B1-40C8-A4A6-52E1426EF55E}" name="DG Lead"/>
    <tableColumn id="16" xr3:uid="{401414F8-2F30-482C-B347-2170B61BAC5D}" name="single IMDL" dataDxfId="7">
      <calculatedColumnFormula>IF(K2="","",TRIM(_xlfn.LET(
        _xlpm.text,K2,
        _xlpm.startPos,IF(ISNUMBER(SEARCH("DEL =",_xlpm.text)),SEARCH("DEL =",_xlpm.text)+6,IF(ISNUMBER(SEARCH("=",_xlpm.text)),SEARCH("=",_xlpm.text)+2,1)),
        _xlpm.endPos,IFERROR(SEARCH(";",_xlpm.text,_xlpm.startPos),LEN(_xlpm.text)+1),
        MID(_xlpm.text,_xlpm.startPos,_xlpm.endPos-_xlpm.startPos)
    )))</calculatedColumnFormula>
    </tableColumn>
    <tableColumn id="6" xr3:uid="{56758586-85AB-48AE-A279-E21BF169D7CA}" name="IMDL Approvers"/>
    <tableColumn id="7" xr3:uid="{39202B5A-880E-4D67-931E-69A92FFA21CD}" name="Business System Owner"/>
    <tableColumn id="8" xr3:uid="{D0533B41-99FD-4181-88E0-E7AD16B06F70}" name="Data Scientist/Analyst Approver"/>
    <tableColumn id="9" xr3:uid="{8844A518-ADCF-4D99-9B11-122AA170BC38}" name="Data Engineer Approver"/>
    <tableColumn id="10" xr3:uid="{406E3520-2C87-46C6-BA05-3A6276977773}" name="Technical Lead"/>
    <tableColumn id="11" xr3:uid="{F05B61A4-B9FF-4B6E-AD08-AD3EF4D95F93}" name="Node 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6-04-14T12:01:52.97" personId="{373753E3-12C9-4FDB-BA4B-C6A0117F87CB}" id="{303077B9-B7F7-46EE-B7B0-9CEBA13ED8E3}">
    <text>This change into XDB62269 according to DPaaS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Zhanna.Imanbekova@pmi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Ivana.Octavia@sampoerna.com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Bruna.Carvalho@pmi.com" TargetMode="External"/><Relationship Id="rId1" Type="http://schemas.openxmlformats.org/officeDocument/2006/relationships/hyperlink" Target="mailto:Bruna.Carvalho@pmi.com" TargetMode="External"/><Relationship Id="rId6" Type="http://schemas.openxmlformats.org/officeDocument/2006/relationships/hyperlink" Target="mailto:Bruna.Carvalho@pmi.com" TargetMode="External"/><Relationship Id="rId5" Type="http://schemas.openxmlformats.org/officeDocument/2006/relationships/hyperlink" Target="mailto:Bruna.Carvalho@pmi.com" TargetMode="External"/><Relationship Id="rId4" Type="http://schemas.openxmlformats.org/officeDocument/2006/relationships/hyperlink" Target="mailto:Andrea.Guarnieri@pm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F42A-6A47-475A-B3E1-A5DE911CDC89}">
  <dimension ref="A1:R84"/>
  <sheetViews>
    <sheetView topLeftCell="A19" workbookViewId="0">
      <selection activeCell="A45" sqref="A45"/>
    </sheetView>
  </sheetViews>
  <sheetFormatPr defaultRowHeight="15" x14ac:dyDescent="0.25"/>
  <cols>
    <col min="2" max="2" width="10.5703125" bestFit="1" customWidth="1"/>
    <col min="3" max="3" width="32.42578125" bestFit="1" customWidth="1"/>
    <col min="4" max="4" width="14.140625" bestFit="1" customWidth="1"/>
    <col min="5" max="5" width="15.85546875" bestFit="1" customWidth="1"/>
    <col min="6" max="6" width="49.28515625" bestFit="1" customWidth="1"/>
    <col min="7" max="7" width="51" bestFit="1" customWidth="1"/>
    <col min="8" max="8" width="17.85546875" bestFit="1" customWidth="1"/>
    <col min="9" max="9" width="12.85546875" bestFit="1" customWidth="1"/>
    <col min="10" max="10" width="11.7109375" bestFit="1" customWidth="1"/>
    <col min="11" max="11" width="16" bestFit="1" customWidth="1"/>
    <col min="12" max="12" width="14.42578125" bestFit="1" customWidth="1"/>
    <col min="13" max="13" width="98" bestFit="1" customWidth="1"/>
    <col min="14" max="14" width="53.28515625" bestFit="1" customWidth="1"/>
    <col min="15" max="15" width="12.140625" bestFit="1" customWidth="1"/>
    <col min="16" max="16" width="7.42578125" bestFit="1" customWidth="1"/>
    <col min="17" max="17" width="96.42578125" bestFit="1" customWidth="1"/>
    <col min="18" max="18" width="38.85546875" bestFit="1" customWidth="1"/>
  </cols>
  <sheetData>
    <row r="1" spans="1:18" x14ac:dyDescent="0.25">
      <c r="A1" t="s">
        <v>770</v>
      </c>
      <c r="B1" t="s">
        <v>748</v>
      </c>
      <c r="C1" t="s">
        <v>749</v>
      </c>
      <c r="D1" t="s">
        <v>750</v>
      </c>
      <c r="E1" t="s">
        <v>751</v>
      </c>
      <c r="F1" t="s">
        <v>752</v>
      </c>
      <c r="G1" t="s">
        <v>753</v>
      </c>
      <c r="H1" t="s">
        <v>754</v>
      </c>
      <c r="I1" t="s">
        <v>755</v>
      </c>
      <c r="J1" t="s">
        <v>756</v>
      </c>
      <c r="K1" t="s">
        <v>757</v>
      </c>
      <c r="L1" t="s">
        <v>758</v>
      </c>
      <c r="M1" t="s">
        <v>759</v>
      </c>
      <c r="N1" t="s">
        <v>760</v>
      </c>
      <c r="O1" t="s">
        <v>761</v>
      </c>
      <c r="P1" t="s">
        <v>762</v>
      </c>
      <c r="Q1" t="s">
        <v>763</v>
      </c>
      <c r="R1" t="s">
        <v>764</v>
      </c>
    </row>
    <row r="2" spans="1:18" x14ac:dyDescent="0.25">
      <c r="B2">
        <v>1</v>
      </c>
      <c r="C2" t="s">
        <v>98</v>
      </c>
      <c r="E2" t="s">
        <v>69</v>
      </c>
      <c r="F2" t="s">
        <v>120</v>
      </c>
      <c r="G2" t="s">
        <v>121</v>
      </c>
      <c r="H2" t="s">
        <v>58</v>
      </c>
      <c r="I2" t="s">
        <v>122</v>
      </c>
      <c r="J2" t="s">
        <v>123</v>
      </c>
      <c r="K2" t="s">
        <v>124</v>
      </c>
      <c r="L2" t="s">
        <v>125</v>
      </c>
      <c r="M2" t="s">
        <v>98</v>
      </c>
      <c r="N2" t="s">
        <v>126</v>
      </c>
      <c r="O2" t="s">
        <v>127</v>
      </c>
      <c r="P2" t="b">
        <v>1</v>
      </c>
      <c r="Q2" t="s">
        <v>128</v>
      </c>
      <c r="R2" t="s">
        <v>129</v>
      </c>
    </row>
    <row r="3" spans="1:18" x14ac:dyDescent="0.25">
      <c r="B3">
        <v>2</v>
      </c>
      <c r="C3" t="s">
        <v>130</v>
      </c>
      <c r="E3" t="s">
        <v>131</v>
      </c>
      <c r="F3" t="s">
        <v>132</v>
      </c>
      <c r="G3" t="s">
        <v>133</v>
      </c>
      <c r="H3" t="s">
        <v>134</v>
      </c>
      <c r="I3" t="s">
        <v>122</v>
      </c>
      <c r="J3" t="s">
        <v>123</v>
      </c>
      <c r="K3" t="s">
        <v>124</v>
      </c>
      <c r="L3" t="s">
        <v>125</v>
      </c>
      <c r="M3" t="s">
        <v>130</v>
      </c>
      <c r="N3" t="s">
        <v>135</v>
      </c>
      <c r="O3" t="s">
        <v>136</v>
      </c>
      <c r="P3" t="b">
        <v>1</v>
      </c>
      <c r="Q3" t="s">
        <v>137</v>
      </c>
      <c r="R3" t="s">
        <v>138</v>
      </c>
    </row>
    <row r="4" spans="1:18" x14ac:dyDescent="0.25">
      <c r="B4">
        <v>3</v>
      </c>
      <c r="C4" t="s">
        <v>139</v>
      </c>
      <c r="E4" t="s">
        <v>140</v>
      </c>
      <c r="F4" t="s">
        <v>141</v>
      </c>
      <c r="G4" t="s">
        <v>142</v>
      </c>
      <c r="H4" t="s">
        <v>143</v>
      </c>
      <c r="I4" t="s">
        <v>122</v>
      </c>
      <c r="J4" t="s">
        <v>123</v>
      </c>
      <c r="K4" t="s">
        <v>144</v>
      </c>
      <c r="L4" t="s">
        <v>125</v>
      </c>
      <c r="M4" t="s">
        <v>145</v>
      </c>
      <c r="N4" t="s">
        <v>126</v>
      </c>
      <c r="O4" t="s">
        <v>146</v>
      </c>
      <c r="P4" t="b">
        <v>0</v>
      </c>
      <c r="Q4" t="s">
        <v>147</v>
      </c>
      <c r="R4" t="s">
        <v>148</v>
      </c>
    </row>
    <row r="5" spans="1:18" x14ac:dyDescent="0.25">
      <c r="B5">
        <v>4</v>
      </c>
      <c r="C5" t="s">
        <v>78</v>
      </c>
      <c r="E5" t="s">
        <v>65</v>
      </c>
      <c r="F5" t="s">
        <v>149</v>
      </c>
      <c r="G5" t="s">
        <v>150</v>
      </c>
      <c r="H5" t="s">
        <v>64</v>
      </c>
      <c r="I5" t="s">
        <v>122</v>
      </c>
      <c r="J5" t="s">
        <v>123</v>
      </c>
      <c r="K5" t="s">
        <v>151</v>
      </c>
      <c r="L5" t="s">
        <v>152</v>
      </c>
      <c r="M5" t="s">
        <v>153</v>
      </c>
      <c r="N5" t="s">
        <v>154</v>
      </c>
      <c r="O5" t="s">
        <v>155</v>
      </c>
      <c r="P5" t="b">
        <v>1</v>
      </c>
      <c r="Q5" t="s">
        <v>156</v>
      </c>
      <c r="R5" t="s">
        <v>157</v>
      </c>
    </row>
    <row r="6" spans="1:18" x14ac:dyDescent="0.25">
      <c r="B6">
        <v>5</v>
      </c>
      <c r="C6" t="s">
        <v>158</v>
      </c>
      <c r="E6" t="s">
        <v>19</v>
      </c>
      <c r="F6" t="s">
        <v>159</v>
      </c>
      <c r="G6" t="s">
        <v>160</v>
      </c>
      <c r="H6" t="s">
        <v>20</v>
      </c>
      <c r="I6" t="s">
        <v>122</v>
      </c>
      <c r="J6" t="s">
        <v>123</v>
      </c>
      <c r="K6" t="s">
        <v>151</v>
      </c>
      <c r="L6" t="s">
        <v>152</v>
      </c>
      <c r="M6" t="s">
        <v>158</v>
      </c>
      <c r="O6" t="s">
        <v>161</v>
      </c>
      <c r="P6" t="b">
        <v>1</v>
      </c>
      <c r="Q6" t="s">
        <v>162</v>
      </c>
      <c r="R6" t="s">
        <v>163</v>
      </c>
    </row>
    <row r="7" spans="1:18" x14ac:dyDescent="0.25">
      <c r="B7">
        <v>6</v>
      </c>
      <c r="C7" t="s">
        <v>164</v>
      </c>
      <c r="E7" t="s">
        <v>12</v>
      </c>
      <c r="F7" t="s">
        <v>165</v>
      </c>
      <c r="G7" t="s">
        <v>166</v>
      </c>
      <c r="H7" t="s">
        <v>13</v>
      </c>
      <c r="I7" t="s">
        <v>122</v>
      </c>
      <c r="J7" t="s">
        <v>123</v>
      </c>
      <c r="K7" t="s">
        <v>151</v>
      </c>
      <c r="L7" t="s">
        <v>152</v>
      </c>
      <c r="M7" t="s">
        <v>164</v>
      </c>
      <c r="N7" t="s">
        <v>167</v>
      </c>
      <c r="O7" t="s">
        <v>168</v>
      </c>
      <c r="P7" t="b">
        <v>1</v>
      </c>
      <c r="Q7" t="s">
        <v>169</v>
      </c>
      <c r="R7" t="s">
        <v>170</v>
      </c>
    </row>
    <row r="8" spans="1:18" x14ac:dyDescent="0.25">
      <c r="B8">
        <v>7</v>
      </c>
      <c r="C8" t="s">
        <v>171</v>
      </c>
      <c r="E8" t="s">
        <v>172</v>
      </c>
      <c r="F8" t="s">
        <v>173</v>
      </c>
      <c r="G8" t="s">
        <v>174</v>
      </c>
      <c r="H8" t="s">
        <v>175</v>
      </c>
      <c r="I8" t="s">
        <v>176</v>
      </c>
      <c r="J8" t="s">
        <v>177</v>
      </c>
      <c r="K8" t="s">
        <v>178</v>
      </c>
      <c r="L8" t="s">
        <v>125</v>
      </c>
      <c r="M8" t="s">
        <v>171</v>
      </c>
      <c r="O8" t="s">
        <v>179</v>
      </c>
      <c r="P8" t="b">
        <v>0</v>
      </c>
      <c r="Q8" t="s">
        <v>180</v>
      </c>
      <c r="R8" t="s">
        <v>181</v>
      </c>
    </row>
    <row r="9" spans="1:18" x14ac:dyDescent="0.25">
      <c r="B9">
        <v>8</v>
      </c>
      <c r="C9" t="s">
        <v>182</v>
      </c>
      <c r="E9" t="s">
        <v>183</v>
      </c>
      <c r="F9" t="s">
        <v>184</v>
      </c>
      <c r="G9" t="s">
        <v>185</v>
      </c>
      <c r="H9" t="s">
        <v>186</v>
      </c>
      <c r="I9" t="s">
        <v>122</v>
      </c>
      <c r="J9" t="s">
        <v>123</v>
      </c>
      <c r="K9" t="s">
        <v>187</v>
      </c>
      <c r="L9" t="s">
        <v>125</v>
      </c>
      <c r="M9" t="s">
        <v>182</v>
      </c>
      <c r="N9" t="s">
        <v>135</v>
      </c>
      <c r="O9" t="s">
        <v>188</v>
      </c>
      <c r="P9" t="b">
        <v>1</v>
      </c>
      <c r="Q9" t="s">
        <v>189</v>
      </c>
      <c r="R9" t="s">
        <v>190</v>
      </c>
    </row>
    <row r="10" spans="1:18" x14ac:dyDescent="0.25">
      <c r="B10">
        <v>9</v>
      </c>
      <c r="C10" t="s">
        <v>191</v>
      </c>
      <c r="E10" t="s">
        <v>15</v>
      </c>
      <c r="F10" t="s">
        <v>192</v>
      </c>
      <c r="G10" t="s">
        <v>193</v>
      </c>
      <c r="H10" t="s">
        <v>16</v>
      </c>
      <c r="I10" t="s">
        <v>122</v>
      </c>
      <c r="J10" t="s">
        <v>123</v>
      </c>
      <c r="K10" t="s">
        <v>194</v>
      </c>
      <c r="L10" t="s">
        <v>152</v>
      </c>
      <c r="M10" t="s">
        <v>191</v>
      </c>
      <c r="N10" t="s">
        <v>167</v>
      </c>
      <c r="O10" t="s">
        <v>195</v>
      </c>
      <c r="P10" t="b">
        <v>1</v>
      </c>
      <c r="Q10" t="s">
        <v>196</v>
      </c>
      <c r="R10" t="s">
        <v>197</v>
      </c>
    </row>
    <row r="11" spans="1:18" x14ac:dyDescent="0.25">
      <c r="B11">
        <v>10</v>
      </c>
      <c r="C11" t="s">
        <v>100</v>
      </c>
      <c r="E11" t="s">
        <v>198</v>
      </c>
      <c r="F11" t="s">
        <v>199</v>
      </c>
      <c r="G11" t="s">
        <v>200</v>
      </c>
      <c r="H11" t="s">
        <v>28</v>
      </c>
      <c r="I11" t="s">
        <v>122</v>
      </c>
      <c r="J11" t="s">
        <v>123</v>
      </c>
      <c r="K11" t="s">
        <v>201</v>
      </c>
      <c r="L11" t="s">
        <v>125</v>
      </c>
      <c r="M11" t="s">
        <v>202</v>
      </c>
      <c r="N11" t="s">
        <v>203</v>
      </c>
      <c r="O11" t="s">
        <v>204</v>
      </c>
      <c r="P11" t="b">
        <v>1</v>
      </c>
      <c r="Q11" t="s">
        <v>205</v>
      </c>
      <c r="R11" t="s">
        <v>206</v>
      </c>
    </row>
    <row r="12" spans="1:18" x14ac:dyDescent="0.25">
      <c r="B12">
        <v>11</v>
      </c>
      <c r="C12" t="s">
        <v>207</v>
      </c>
      <c r="E12" t="s">
        <v>6</v>
      </c>
      <c r="F12" t="s">
        <v>208</v>
      </c>
      <c r="G12" t="s">
        <v>209</v>
      </c>
      <c r="H12" t="s">
        <v>7</v>
      </c>
      <c r="I12" t="s">
        <v>122</v>
      </c>
      <c r="J12" t="s">
        <v>123</v>
      </c>
      <c r="K12" t="s">
        <v>210</v>
      </c>
      <c r="L12" t="s">
        <v>152</v>
      </c>
      <c r="M12" t="s">
        <v>211</v>
      </c>
      <c r="O12" t="s">
        <v>212</v>
      </c>
      <c r="P12" t="b">
        <v>1</v>
      </c>
      <c r="Q12" t="s">
        <v>213</v>
      </c>
      <c r="R12" t="s">
        <v>214</v>
      </c>
    </row>
    <row r="13" spans="1:18" x14ac:dyDescent="0.25">
      <c r="B13">
        <v>12</v>
      </c>
      <c r="C13" t="s">
        <v>215</v>
      </c>
      <c r="E13" t="s">
        <v>33</v>
      </c>
      <c r="F13" t="s">
        <v>216</v>
      </c>
      <c r="G13" t="s">
        <v>217</v>
      </c>
      <c r="H13" t="s">
        <v>34</v>
      </c>
      <c r="I13" t="s">
        <v>122</v>
      </c>
      <c r="J13" t="s">
        <v>123</v>
      </c>
      <c r="K13" t="s">
        <v>218</v>
      </c>
      <c r="L13" t="s">
        <v>219</v>
      </c>
      <c r="M13" t="s">
        <v>215</v>
      </c>
      <c r="N13" t="s">
        <v>220</v>
      </c>
      <c r="O13" t="s">
        <v>221</v>
      </c>
      <c r="P13" t="s">
        <v>222</v>
      </c>
      <c r="Q13" t="s">
        <v>223</v>
      </c>
      <c r="R13" t="s">
        <v>224</v>
      </c>
    </row>
    <row r="14" spans="1:18" x14ac:dyDescent="0.25">
      <c r="B14">
        <v>13</v>
      </c>
      <c r="C14" t="s">
        <v>93</v>
      </c>
      <c r="E14" t="s">
        <v>67</v>
      </c>
      <c r="F14" t="s">
        <v>225</v>
      </c>
      <c r="G14" t="s">
        <v>226</v>
      </c>
      <c r="H14" t="s">
        <v>55</v>
      </c>
      <c r="I14" t="s">
        <v>122</v>
      </c>
      <c r="J14" t="s">
        <v>123</v>
      </c>
      <c r="K14" t="s">
        <v>227</v>
      </c>
      <c r="L14" t="s">
        <v>152</v>
      </c>
      <c r="M14" t="s">
        <v>93</v>
      </c>
      <c r="N14" t="s">
        <v>228</v>
      </c>
      <c r="O14" t="s">
        <v>229</v>
      </c>
      <c r="P14" t="b">
        <v>1</v>
      </c>
      <c r="Q14" t="s">
        <v>230</v>
      </c>
      <c r="R14" t="s">
        <v>231</v>
      </c>
    </row>
    <row r="15" spans="1:18" x14ac:dyDescent="0.25">
      <c r="B15">
        <v>14</v>
      </c>
      <c r="C15" t="s">
        <v>111</v>
      </c>
      <c r="E15" t="s">
        <v>75</v>
      </c>
      <c r="F15" t="s">
        <v>232</v>
      </c>
      <c r="G15" t="s">
        <v>233</v>
      </c>
      <c r="H15" t="s">
        <v>62</v>
      </c>
      <c r="I15" t="s">
        <v>122</v>
      </c>
      <c r="J15" t="s">
        <v>123</v>
      </c>
      <c r="K15" t="s">
        <v>227</v>
      </c>
      <c r="L15" t="s">
        <v>125</v>
      </c>
      <c r="M15" t="s">
        <v>111</v>
      </c>
      <c r="N15" t="s">
        <v>126</v>
      </c>
      <c r="O15" t="s">
        <v>234</v>
      </c>
      <c r="P15" t="b">
        <v>1</v>
      </c>
      <c r="Q15" t="s">
        <v>235</v>
      </c>
      <c r="R15" t="s">
        <v>236</v>
      </c>
    </row>
    <row r="16" spans="1:18" x14ac:dyDescent="0.25">
      <c r="B16">
        <v>15</v>
      </c>
      <c r="C16" t="s">
        <v>106</v>
      </c>
      <c r="E16" t="s">
        <v>74</v>
      </c>
      <c r="F16" t="s">
        <v>237</v>
      </c>
      <c r="G16" t="s">
        <v>238</v>
      </c>
      <c r="H16" t="s">
        <v>61</v>
      </c>
      <c r="I16" t="s">
        <v>122</v>
      </c>
      <c r="J16" t="s">
        <v>123</v>
      </c>
      <c r="K16" t="s">
        <v>227</v>
      </c>
      <c r="L16" t="s">
        <v>152</v>
      </c>
      <c r="M16" t="s">
        <v>106</v>
      </c>
      <c r="N16" t="s">
        <v>239</v>
      </c>
      <c r="O16" t="s">
        <v>240</v>
      </c>
      <c r="P16" t="b">
        <v>1</v>
      </c>
      <c r="Q16" t="s">
        <v>241</v>
      </c>
      <c r="R16" t="s">
        <v>242</v>
      </c>
    </row>
    <row r="17" spans="1:18" x14ac:dyDescent="0.25">
      <c r="B17">
        <v>16</v>
      </c>
      <c r="C17" t="s">
        <v>243</v>
      </c>
      <c r="E17" t="s">
        <v>71</v>
      </c>
      <c r="F17" t="s">
        <v>244</v>
      </c>
      <c r="G17" t="s">
        <v>245</v>
      </c>
      <c r="H17" t="s">
        <v>57</v>
      </c>
      <c r="I17" t="s">
        <v>122</v>
      </c>
      <c r="J17" t="s">
        <v>123</v>
      </c>
      <c r="K17" t="s">
        <v>144</v>
      </c>
      <c r="L17" t="s">
        <v>152</v>
      </c>
      <c r="M17" t="s">
        <v>243</v>
      </c>
      <c r="N17" t="s">
        <v>246</v>
      </c>
      <c r="O17" t="s">
        <v>247</v>
      </c>
      <c r="P17" t="b">
        <v>1</v>
      </c>
      <c r="Q17" t="s">
        <v>248</v>
      </c>
      <c r="R17" t="s">
        <v>249</v>
      </c>
    </row>
    <row r="18" spans="1:18" x14ac:dyDescent="0.25">
      <c r="B18">
        <v>17</v>
      </c>
      <c r="C18" t="s">
        <v>116</v>
      </c>
      <c r="E18" t="s">
        <v>76</v>
      </c>
      <c r="F18" t="s">
        <v>250</v>
      </c>
      <c r="G18" t="s">
        <v>251</v>
      </c>
      <c r="H18" t="s">
        <v>63</v>
      </c>
      <c r="I18" t="s">
        <v>122</v>
      </c>
      <c r="J18" t="s">
        <v>123</v>
      </c>
      <c r="K18" t="s">
        <v>218</v>
      </c>
      <c r="L18" t="s">
        <v>152</v>
      </c>
      <c r="M18" t="s">
        <v>116</v>
      </c>
      <c r="N18" t="s">
        <v>167</v>
      </c>
      <c r="O18" t="s">
        <v>252</v>
      </c>
      <c r="P18" t="b">
        <v>1</v>
      </c>
      <c r="Q18" t="s">
        <v>253</v>
      </c>
      <c r="R18" t="s">
        <v>254</v>
      </c>
    </row>
    <row r="19" spans="1:18" x14ac:dyDescent="0.25">
      <c r="B19">
        <v>18</v>
      </c>
      <c r="C19" t="s">
        <v>255</v>
      </c>
      <c r="E19" t="s">
        <v>256</v>
      </c>
      <c r="F19" t="s">
        <v>257</v>
      </c>
      <c r="G19" t="s">
        <v>258</v>
      </c>
      <c r="H19" t="s">
        <v>259</v>
      </c>
      <c r="I19" t="s">
        <v>122</v>
      </c>
      <c r="J19" t="s">
        <v>123</v>
      </c>
      <c r="K19" t="s">
        <v>218</v>
      </c>
      <c r="L19" t="s">
        <v>152</v>
      </c>
      <c r="M19" t="s">
        <v>255</v>
      </c>
      <c r="N19" t="s">
        <v>228</v>
      </c>
      <c r="O19" t="s">
        <v>260</v>
      </c>
      <c r="P19" t="b">
        <v>1</v>
      </c>
      <c r="Q19" t="s">
        <v>261</v>
      </c>
      <c r="R19" t="s">
        <v>262</v>
      </c>
    </row>
    <row r="20" spans="1:18" x14ac:dyDescent="0.25">
      <c r="A20" t="s">
        <v>771</v>
      </c>
      <c r="B20">
        <v>19</v>
      </c>
      <c r="C20" t="s">
        <v>263</v>
      </c>
      <c r="E20" t="s">
        <v>29</v>
      </c>
      <c r="F20" t="s">
        <v>264</v>
      </c>
      <c r="G20" t="s">
        <v>265</v>
      </c>
      <c r="H20" t="s">
        <v>30</v>
      </c>
      <c r="I20" t="s">
        <v>122</v>
      </c>
      <c r="J20" t="s">
        <v>123</v>
      </c>
      <c r="K20" t="s">
        <v>227</v>
      </c>
      <c r="L20" t="s">
        <v>125</v>
      </c>
      <c r="M20" t="s">
        <v>266</v>
      </c>
      <c r="N20" t="s">
        <v>267</v>
      </c>
      <c r="O20" t="s">
        <v>268</v>
      </c>
      <c r="P20" t="b">
        <v>1</v>
      </c>
      <c r="Q20" t="s">
        <v>269</v>
      </c>
      <c r="R20" t="s">
        <v>270</v>
      </c>
    </row>
    <row r="21" spans="1:18" x14ac:dyDescent="0.25">
      <c r="B21">
        <v>20</v>
      </c>
      <c r="C21" t="s">
        <v>271</v>
      </c>
      <c r="E21" t="s">
        <v>17</v>
      </c>
      <c r="F21" t="s">
        <v>272</v>
      </c>
      <c r="G21" t="s">
        <v>273</v>
      </c>
      <c r="H21" t="s">
        <v>18</v>
      </c>
      <c r="I21" t="s">
        <v>122</v>
      </c>
      <c r="J21" t="s">
        <v>123</v>
      </c>
      <c r="K21" t="s">
        <v>218</v>
      </c>
      <c r="L21" t="s">
        <v>152</v>
      </c>
      <c r="M21" t="s">
        <v>271</v>
      </c>
      <c r="N21" t="s">
        <v>274</v>
      </c>
      <c r="O21" t="s">
        <v>275</v>
      </c>
      <c r="P21" t="b">
        <v>1</v>
      </c>
      <c r="Q21" t="s">
        <v>276</v>
      </c>
      <c r="R21" t="s">
        <v>277</v>
      </c>
    </row>
    <row r="22" spans="1:18" x14ac:dyDescent="0.25">
      <c r="B22">
        <v>21</v>
      </c>
      <c r="C22" t="s">
        <v>278</v>
      </c>
      <c r="E22" t="s">
        <v>42</v>
      </c>
      <c r="F22" t="s">
        <v>279</v>
      </c>
      <c r="G22" t="s">
        <v>280</v>
      </c>
      <c r="H22" t="s">
        <v>43</v>
      </c>
      <c r="I22" t="s">
        <v>122</v>
      </c>
      <c r="J22" t="s">
        <v>123</v>
      </c>
      <c r="K22" t="s">
        <v>218</v>
      </c>
      <c r="L22" t="s">
        <v>152</v>
      </c>
      <c r="M22" t="s">
        <v>278</v>
      </c>
      <c r="N22" t="s">
        <v>228</v>
      </c>
      <c r="O22" t="s">
        <v>281</v>
      </c>
      <c r="P22" t="b">
        <v>1</v>
      </c>
      <c r="Q22" t="s">
        <v>282</v>
      </c>
      <c r="R22" t="s">
        <v>283</v>
      </c>
    </row>
    <row r="23" spans="1:18" x14ac:dyDescent="0.25">
      <c r="B23">
        <v>22</v>
      </c>
      <c r="C23" t="s">
        <v>284</v>
      </c>
      <c r="E23" t="s">
        <v>3</v>
      </c>
      <c r="F23" t="s">
        <v>285</v>
      </c>
      <c r="G23" t="s">
        <v>286</v>
      </c>
      <c r="H23" t="s">
        <v>4</v>
      </c>
      <c r="I23" t="s">
        <v>122</v>
      </c>
      <c r="J23" t="s">
        <v>123</v>
      </c>
      <c r="K23" t="s">
        <v>218</v>
      </c>
      <c r="L23" t="s">
        <v>152</v>
      </c>
      <c r="M23" t="s">
        <v>284</v>
      </c>
      <c r="N23" t="s">
        <v>274</v>
      </c>
      <c r="O23" t="s">
        <v>287</v>
      </c>
      <c r="P23" t="b">
        <v>1</v>
      </c>
      <c r="Q23" t="s">
        <v>288</v>
      </c>
      <c r="R23" t="s">
        <v>289</v>
      </c>
    </row>
    <row r="24" spans="1:18" x14ac:dyDescent="0.25">
      <c r="B24">
        <v>23</v>
      </c>
      <c r="C24" t="s">
        <v>290</v>
      </c>
      <c r="E24" t="s">
        <v>8</v>
      </c>
      <c r="F24" t="s">
        <v>291</v>
      </c>
      <c r="G24" t="s">
        <v>292</v>
      </c>
      <c r="H24" t="s">
        <v>9</v>
      </c>
      <c r="I24" t="s">
        <v>122</v>
      </c>
      <c r="J24" t="s">
        <v>123</v>
      </c>
      <c r="K24" t="s">
        <v>218</v>
      </c>
      <c r="L24" t="s">
        <v>152</v>
      </c>
      <c r="M24" t="s">
        <v>290</v>
      </c>
      <c r="N24" t="s">
        <v>274</v>
      </c>
      <c r="O24" t="s">
        <v>293</v>
      </c>
      <c r="P24" t="b">
        <v>1</v>
      </c>
      <c r="Q24" t="s">
        <v>294</v>
      </c>
      <c r="R24" t="s">
        <v>295</v>
      </c>
    </row>
    <row r="25" spans="1:18" x14ac:dyDescent="0.25">
      <c r="B25">
        <v>24</v>
      </c>
      <c r="C25" t="s">
        <v>296</v>
      </c>
      <c r="E25" t="s">
        <v>0</v>
      </c>
      <c r="F25" t="s">
        <v>297</v>
      </c>
      <c r="G25" t="s">
        <v>298</v>
      </c>
      <c r="H25" t="s">
        <v>1</v>
      </c>
      <c r="I25" t="s">
        <v>122</v>
      </c>
      <c r="J25" t="s">
        <v>123</v>
      </c>
      <c r="K25" t="s">
        <v>218</v>
      </c>
      <c r="L25" t="s">
        <v>152</v>
      </c>
      <c r="M25" t="s">
        <v>296</v>
      </c>
      <c r="N25" t="s">
        <v>274</v>
      </c>
      <c r="O25" t="s">
        <v>299</v>
      </c>
      <c r="P25" t="b">
        <v>1</v>
      </c>
      <c r="Q25" t="s">
        <v>300</v>
      </c>
      <c r="R25" s="1" t="s">
        <v>301</v>
      </c>
    </row>
    <row r="26" spans="1:18" x14ac:dyDescent="0.25">
      <c r="A26" t="s">
        <v>771</v>
      </c>
      <c r="B26">
        <v>25</v>
      </c>
      <c r="C26" t="s">
        <v>302</v>
      </c>
      <c r="E26" t="s">
        <v>35</v>
      </c>
      <c r="F26" t="s">
        <v>303</v>
      </c>
      <c r="G26" t="s">
        <v>304</v>
      </c>
      <c r="H26" t="s">
        <v>36</v>
      </c>
      <c r="I26" t="s">
        <v>122</v>
      </c>
      <c r="J26" t="s">
        <v>123</v>
      </c>
      <c r="K26" t="s">
        <v>218</v>
      </c>
      <c r="L26" t="s">
        <v>125</v>
      </c>
      <c r="M26" t="s">
        <v>302</v>
      </c>
      <c r="N26" t="s">
        <v>305</v>
      </c>
      <c r="O26" t="s">
        <v>307</v>
      </c>
      <c r="P26" t="s">
        <v>222</v>
      </c>
      <c r="Q26" t="s">
        <v>308</v>
      </c>
      <c r="R26" t="s">
        <v>309</v>
      </c>
    </row>
    <row r="27" spans="1:18" x14ac:dyDescent="0.25">
      <c r="A27" t="s">
        <v>771</v>
      </c>
      <c r="B27">
        <v>26</v>
      </c>
      <c r="C27" t="s">
        <v>310</v>
      </c>
      <c r="E27" t="s">
        <v>39</v>
      </c>
      <c r="F27" t="s">
        <v>311</v>
      </c>
      <c r="G27" t="s">
        <v>312</v>
      </c>
      <c r="H27" t="s">
        <v>40</v>
      </c>
      <c r="I27" t="s">
        <v>122</v>
      </c>
      <c r="J27" t="s">
        <v>123</v>
      </c>
      <c r="K27" t="s">
        <v>218</v>
      </c>
      <c r="L27" t="s">
        <v>125</v>
      </c>
      <c r="M27" t="s">
        <v>310</v>
      </c>
      <c r="N27" t="s">
        <v>305</v>
      </c>
      <c r="O27" t="s">
        <v>313</v>
      </c>
      <c r="P27" t="s">
        <v>222</v>
      </c>
      <c r="Q27" t="s">
        <v>314</v>
      </c>
      <c r="R27" t="s">
        <v>315</v>
      </c>
    </row>
    <row r="28" spans="1:18" x14ac:dyDescent="0.25">
      <c r="B28">
        <v>27</v>
      </c>
      <c r="C28" t="s">
        <v>94</v>
      </c>
      <c r="E28" t="s">
        <v>68</v>
      </c>
      <c r="F28" t="s">
        <v>316</v>
      </c>
      <c r="G28" t="s">
        <v>317</v>
      </c>
      <c r="H28" t="s">
        <v>56</v>
      </c>
      <c r="I28" t="s">
        <v>122</v>
      </c>
      <c r="J28" t="s">
        <v>123</v>
      </c>
      <c r="K28" t="s">
        <v>218</v>
      </c>
      <c r="L28" t="s">
        <v>125</v>
      </c>
      <c r="M28" t="s">
        <v>94</v>
      </c>
      <c r="N28" t="s">
        <v>126</v>
      </c>
      <c r="O28" t="s">
        <v>318</v>
      </c>
      <c r="P28" t="b">
        <v>1</v>
      </c>
      <c r="Q28" t="s">
        <v>319</v>
      </c>
      <c r="R28" t="s">
        <v>320</v>
      </c>
    </row>
    <row r="29" spans="1:18" x14ac:dyDescent="0.25">
      <c r="B29">
        <v>28</v>
      </c>
      <c r="C29" t="s">
        <v>99</v>
      </c>
      <c r="E29" t="s">
        <v>72</v>
      </c>
      <c r="F29" t="s">
        <v>321</v>
      </c>
      <c r="G29" t="s">
        <v>322</v>
      </c>
      <c r="H29" t="s">
        <v>59</v>
      </c>
      <c r="I29" t="s">
        <v>122</v>
      </c>
      <c r="J29" t="s">
        <v>123</v>
      </c>
      <c r="K29" t="s">
        <v>218</v>
      </c>
      <c r="L29" t="s">
        <v>125</v>
      </c>
      <c r="M29" t="s">
        <v>99</v>
      </c>
      <c r="N29" t="s">
        <v>135</v>
      </c>
      <c r="O29" t="s">
        <v>323</v>
      </c>
      <c r="P29" t="b">
        <v>1</v>
      </c>
      <c r="Q29" t="s">
        <v>324</v>
      </c>
      <c r="R29" t="s">
        <v>320</v>
      </c>
    </row>
    <row r="30" spans="1:18" x14ac:dyDescent="0.25">
      <c r="A30" t="s">
        <v>771</v>
      </c>
      <c r="B30">
        <v>29</v>
      </c>
      <c r="C30" t="s">
        <v>325</v>
      </c>
      <c r="E30" t="s">
        <v>326</v>
      </c>
      <c r="F30" t="s">
        <v>327</v>
      </c>
      <c r="G30" t="s">
        <v>328</v>
      </c>
      <c r="H30" t="s">
        <v>329</v>
      </c>
      <c r="I30" t="s">
        <v>122</v>
      </c>
      <c r="J30" t="s">
        <v>123</v>
      </c>
      <c r="K30" t="s">
        <v>218</v>
      </c>
      <c r="L30" t="s">
        <v>125</v>
      </c>
      <c r="M30" t="s">
        <v>325</v>
      </c>
      <c r="N30" t="s">
        <v>305</v>
      </c>
      <c r="O30" t="s">
        <v>330</v>
      </c>
      <c r="P30" t="s">
        <v>222</v>
      </c>
      <c r="Q30" t="s">
        <v>331</v>
      </c>
      <c r="R30" t="s">
        <v>332</v>
      </c>
    </row>
    <row r="31" spans="1:18" x14ac:dyDescent="0.25">
      <c r="B31">
        <v>30</v>
      </c>
      <c r="C31" t="s">
        <v>333</v>
      </c>
      <c r="E31" t="s">
        <v>334</v>
      </c>
      <c r="F31" t="s">
        <v>335</v>
      </c>
      <c r="G31" t="s">
        <v>336</v>
      </c>
      <c r="H31" t="s">
        <v>337</v>
      </c>
      <c r="I31" t="s">
        <v>122</v>
      </c>
      <c r="J31" t="s">
        <v>123</v>
      </c>
      <c r="K31" t="s">
        <v>338</v>
      </c>
      <c r="L31" t="s">
        <v>125</v>
      </c>
      <c r="M31" t="s">
        <v>339</v>
      </c>
      <c r="N31" t="s">
        <v>203</v>
      </c>
      <c r="O31" t="s">
        <v>340</v>
      </c>
      <c r="P31" t="b">
        <v>1</v>
      </c>
      <c r="Q31" t="s">
        <v>341</v>
      </c>
      <c r="R31" t="s">
        <v>342</v>
      </c>
    </row>
    <row r="32" spans="1:18" x14ac:dyDescent="0.25">
      <c r="B32">
        <v>31</v>
      </c>
      <c r="C32" t="s">
        <v>343</v>
      </c>
      <c r="E32" t="s">
        <v>344</v>
      </c>
      <c r="F32" t="s">
        <v>345</v>
      </c>
      <c r="G32" t="s">
        <v>346</v>
      </c>
      <c r="H32" t="s">
        <v>347</v>
      </c>
      <c r="I32" t="s">
        <v>348</v>
      </c>
      <c r="J32" t="s">
        <v>348</v>
      </c>
      <c r="K32" t="s">
        <v>349</v>
      </c>
      <c r="L32" t="s">
        <v>125</v>
      </c>
      <c r="M32" t="s">
        <v>343</v>
      </c>
      <c r="O32" t="s">
        <v>350</v>
      </c>
      <c r="P32" t="b">
        <v>1</v>
      </c>
      <c r="Q32" t="s">
        <v>351</v>
      </c>
      <c r="R32" t="s">
        <v>352</v>
      </c>
    </row>
    <row r="33" spans="1:18" x14ac:dyDescent="0.25">
      <c r="B33">
        <v>32</v>
      </c>
      <c r="C33" t="s">
        <v>353</v>
      </c>
      <c r="E33" t="s">
        <v>354</v>
      </c>
      <c r="F33" t="s">
        <v>355</v>
      </c>
      <c r="G33" t="s">
        <v>356</v>
      </c>
      <c r="H33" t="s">
        <v>357</v>
      </c>
      <c r="I33" t="s">
        <v>122</v>
      </c>
      <c r="J33" t="s">
        <v>123</v>
      </c>
      <c r="K33" t="s">
        <v>144</v>
      </c>
      <c r="L33" t="s">
        <v>125</v>
      </c>
      <c r="M33" t="s">
        <v>353</v>
      </c>
      <c r="N33" t="s">
        <v>358</v>
      </c>
      <c r="O33" t="s">
        <v>359</v>
      </c>
      <c r="P33" t="b">
        <v>1</v>
      </c>
      <c r="Q33" t="s">
        <v>360</v>
      </c>
      <c r="R33" s="1" t="s">
        <v>361</v>
      </c>
    </row>
    <row r="34" spans="1:18" x14ac:dyDescent="0.25">
      <c r="A34" t="s">
        <v>771</v>
      </c>
      <c r="B34">
        <v>33</v>
      </c>
      <c r="C34" t="s">
        <v>362</v>
      </c>
      <c r="E34" t="s">
        <v>363</v>
      </c>
      <c r="F34" t="s">
        <v>364</v>
      </c>
      <c r="G34" t="s">
        <v>365</v>
      </c>
      <c r="H34" t="s">
        <v>366</v>
      </c>
      <c r="J34" t="s">
        <v>367</v>
      </c>
      <c r="K34" t="s">
        <v>338</v>
      </c>
      <c r="L34" t="s">
        <v>125</v>
      </c>
      <c r="M34" t="s">
        <v>362</v>
      </c>
      <c r="N34" t="s">
        <v>306</v>
      </c>
      <c r="O34" t="s">
        <v>368</v>
      </c>
      <c r="P34" t="s">
        <v>222</v>
      </c>
    </row>
    <row r="35" spans="1:18" x14ac:dyDescent="0.25">
      <c r="A35" t="s">
        <v>771</v>
      </c>
      <c r="B35">
        <v>34</v>
      </c>
      <c r="C35" t="s">
        <v>369</v>
      </c>
      <c r="E35" t="s">
        <v>370</v>
      </c>
      <c r="F35" t="s">
        <v>371</v>
      </c>
      <c r="G35" t="s">
        <v>372</v>
      </c>
      <c r="H35" t="s">
        <v>54</v>
      </c>
      <c r="J35" t="s">
        <v>123</v>
      </c>
      <c r="K35" t="s">
        <v>201</v>
      </c>
      <c r="L35" t="s">
        <v>152</v>
      </c>
      <c r="M35" t="s">
        <v>88</v>
      </c>
      <c r="N35" t="s">
        <v>373</v>
      </c>
      <c r="O35" t="s">
        <v>374</v>
      </c>
      <c r="P35" t="s">
        <v>222</v>
      </c>
    </row>
    <row r="36" spans="1:18" x14ac:dyDescent="0.25">
      <c r="B36">
        <v>35</v>
      </c>
      <c r="C36" t="s">
        <v>375</v>
      </c>
      <c r="E36" t="s">
        <v>376</v>
      </c>
      <c r="F36" t="s">
        <v>377</v>
      </c>
      <c r="G36" t="s">
        <v>378</v>
      </c>
      <c r="H36" t="s">
        <v>11</v>
      </c>
      <c r="I36" t="s">
        <v>122</v>
      </c>
      <c r="J36" t="s">
        <v>123</v>
      </c>
      <c r="K36" t="s">
        <v>144</v>
      </c>
      <c r="L36" t="s">
        <v>152</v>
      </c>
      <c r="M36" t="s">
        <v>379</v>
      </c>
      <c r="N36" t="s">
        <v>228</v>
      </c>
      <c r="O36" t="s">
        <v>380</v>
      </c>
      <c r="P36" t="b">
        <v>1</v>
      </c>
      <c r="Q36" t="s">
        <v>381</v>
      </c>
      <c r="R36" t="s">
        <v>382</v>
      </c>
    </row>
    <row r="37" spans="1:18" x14ac:dyDescent="0.25">
      <c r="B37">
        <v>36</v>
      </c>
      <c r="C37" t="s">
        <v>383</v>
      </c>
      <c r="E37" t="s">
        <v>384</v>
      </c>
      <c r="F37" t="s">
        <v>385</v>
      </c>
      <c r="G37" t="s">
        <v>386</v>
      </c>
      <c r="H37" t="s">
        <v>387</v>
      </c>
      <c r="I37" t="s">
        <v>122</v>
      </c>
      <c r="J37" t="s">
        <v>123</v>
      </c>
      <c r="K37" t="s">
        <v>218</v>
      </c>
      <c r="L37" t="s">
        <v>152</v>
      </c>
      <c r="M37" t="s">
        <v>383</v>
      </c>
      <c r="N37" t="s">
        <v>154</v>
      </c>
      <c r="O37" t="s">
        <v>388</v>
      </c>
      <c r="P37" t="b">
        <v>1</v>
      </c>
      <c r="Q37" t="s">
        <v>389</v>
      </c>
      <c r="R37" t="s">
        <v>390</v>
      </c>
    </row>
    <row r="38" spans="1:18" x14ac:dyDescent="0.25">
      <c r="A38" t="s">
        <v>771</v>
      </c>
      <c r="B38">
        <v>37</v>
      </c>
      <c r="C38" t="s">
        <v>391</v>
      </c>
      <c r="E38" t="s">
        <v>23</v>
      </c>
      <c r="F38" t="s">
        <v>392</v>
      </c>
      <c r="G38" t="s">
        <v>393</v>
      </c>
      <c r="H38" t="s">
        <v>24</v>
      </c>
      <c r="K38" t="s">
        <v>201</v>
      </c>
      <c r="L38" t="s">
        <v>125</v>
      </c>
      <c r="M38" t="s">
        <v>391</v>
      </c>
      <c r="N38" t="s">
        <v>394</v>
      </c>
      <c r="P38" t="s">
        <v>222</v>
      </c>
    </row>
    <row r="39" spans="1:18" x14ac:dyDescent="0.25">
      <c r="B39">
        <v>38</v>
      </c>
      <c r="C39" t="s">
        <v>395</v>
      </c>
      <c r="E39" t="s">
        <v>396</v>
      </c>
      <c r="F39" t="s">
        <v>397</v>
      </c>
      <c r="G39" t="s">
        <v>398</v>
      </c>
      <c r="H39" t="s">
        <v>399</v>
      </c>
      <c r="I39" t="s">
        <v>122</v>
      </c>
      <c r="J39" t="s">
        <v>123</v>
      </c>
      <c r="K39" t="s">
        <v>201</v>
      </c>
      <c r="L39" t="s">
        <v>152</v>
      </c>
      <c r="M39" t="s">
        <v>395</v>
      </c>
      <c r="O39" t="s">
        <v>400</v>
      </c>
      <c r="P39" t="s">
        <v>401</v>
      </c>
      <c r="Q39" t="s">
        <v>402</v>
      </c>
      <c r="R39" t="s">
        <v>403</v>
      </c>
    </row>
    <row r="40" spans="1:18" x14ac:dyDescent="0.25">
      <c r="B40">
        <v>39</v>
      </c>
      <c r="C40" t="s">
        <v>83</v>
      </c>
      <c r="E40" t="s">
        <v>49</v>
      </c>
      <c r="F40" t="s">
        <v>404</v>
      </c>
      <c r="G40" t="s">
        <v>405</v>
      </c>
      <c r="H40" t="s">
        <v>51</v>
      </c>
      <c r="I40" t="s">
        <v>122</v>
      </c>
      <c r="J40" t="s">
        <v>123</v>
      </c>
      <c r="K40" t="s">
        <v>201</v>
      </c>
      <c r="L40" t="s">
        <v>152</v>
      </c>
      <c r="M40" t="s">
        <v>83</v>
      </c>
      <c r="N40" t="s">
        <v>167</v>
      </c>
      <c r="O40" t="s">
        <v>406</v>
      </c>
      <c r="P40" t="b">
        <v>1</v>
      </c>
      <c r="Q40" t="s">
        <v>407</v>
      </c>
      <c r="R40" t="s">
        <v>408</v>
      </c>
    </row>
    <row r="41" spans="1:18" x14ac:dyDescent="0.25">
      <c r="B41">
        <v>40</v>
      </c>
      <c r="C41" t="s">
        <v>82</v>
      </c>
      <c r="E41" t="s">
        <v>409</v>
      </c>
      <c r="F41" t="s">
        <v>410</v>
      </c>
      <c r="G41" t="s">
        <v>411</v>
      </c>
      <c r="H41" t="s">
        <v>41</v>
      </c>
      <c r="I41" t="s">
        <v>122</v>
      </c>
      <c r="J41" t="s">
        <v>123</v>
      </c>
      <c r="K41" t="s">
        <v>144</v>
      </c>
      <c r="L41" t="s">
        <v>125</v>
      </c>
      <c r="M41" t="s">
        <v>412</v>
      </c>
      <c r="N41" t="s">
        <v>358</v>
      </c>
      <c r="O41" t="s">
        <v>413</v>
      </c>
      <c r="P41" t="b">
        <v>1</v>
      </c>
      <c r="Q41" t="s">
        <v>414</v>
      </c>
      <c r="R41" t="s">
        <v>415</v>
      </c>
    </row>
    <row r="42" spans="1:18" x14ac:dyDescent="0.25">
      <c r="B42">
        <v>41</v>
      </c>
      <c r="C42" t="s">
        <v>416</v>
      </c>
      <c r="E42" t="s">
        <v>417</v>
      </c>
      <c r="F42" t="s">
        <v>418</v>
      </c>
      <c r="G42" t="s">
        <v>419</v>
      </c>
      <c r="H42" t="s">
        <v>420</v>
      </c>
      <c r="I42" t="s">
        <v>122</v>
      </c>
      <c r="J42" t="s">
        <v>123</v>
      </c>
      <c r="K42" t="s">
        <v>201</v>
      </c>
      <c r="L42" t="s">
        <v>152</v>
      </c>
      <c r="M42" t="s">
        <v>421</v>
      </c>
      <c r="N42" t="s">
        <v>246</v>
      </c>
      <c r="O42" t="s">
        <v>422</v>
      </c>
      <c r="P42" t="b">
        <v>1</v>
      </c>
      <c r="Q42" t="s">
        <v>423</v>
      </c>
      <c r="R42" t="s">
        <v>424</v>
      </c>
    </row>
    <row r="43" spans="1:18" x14ac:dyDescent="0.25">
      <c r="B43">
        <v>42</v>
      </c>
      <c r="C43" t="s">
        <v>425</v>
      </c>
      <c r="E43" t="s">
        <v>73</v>
      </c>
      <c r="F43" t="s">
        <v>426</v>
      </c>
      <c r="G43" t="s">
        <v>427</v>
      </c>
      <c r="H43" t="s">
        <v>60</v>
      </c>
      <c r="I43" t="s">
        <v>122</v>
      </c>
      <c r="J43" t="s">
        <v>123</v>
      </c>
      <c r="K43" t="s">
        <v>144</v>
      </c>
      <c r="L43" t="s">
        <v>152</v>
      </c>
      <c r="M43" t="s">
        <v>428</v>
      </c>
      <c r="O43" t="s">
        <v>429</v>
      </c>
      <c r="P43" t="b">
        <v>1</v>
      </c>
      <c r="Q43" t="s">
        <v>430</v>
      </c>
      <c r="R43" t="s">
        <v>431</v>
      </c>
    </row>
    <row r="44" spans="1:18" x14ac:dyDescent="0.25">
      <c r="A44" t="s">
        <v>771</v>
      </c>
      <c r="B44">
        <v>43</v>
      </c>
      <c r="C44" t="s">
        <v>432</v>
      </c>
      <c r="E44" t="s">
        <v>433</v>
      </c>
      <c r="F44" t="s">
        <v>434</v>
      </c>
      <c r="G44" t="s">
        <v>435</v>
      </c>
      <c r="H44" t="s">
        <v>436</v>
      </c>
      <c r="L44" t="s">
        <v>437</v>
      </c>
      <c r="P44" t="s">
        <v>222</v>
      </c>
    </row>
    <row r="45" spans="1:18" x14ac:dyDescent="0.25">
      <c r="A45" t="s">
        <v>771</v>
      </c>
      <c r="B45">
        <v>44</v>
      </c>
      <c r="C45" t="s">
        <v>438</v>
      </c>
      <c r="E45" t="s">
        <v>439</v>
      </c>
      <c r="F45" t="s">
        <v>440</v>
      </c>
      <c r="G45" t="s">
        <v>441</v>
      </c>
      <c r="H45" t="s">
        <v>442</v>
      </c>
      <c r="L45" t="s">
        <v>437</v>
      </c>
      <c r="P45" t="s">
        <v>222</v>
      </c>
    </row>
    <row r="46" spans="1:18" x14ac:dyDescent="0.25">
      <c r="B46">
        <v>45</v>
      </c>
      <c r="C46" t="s">
        <v>445</v>
      </c>
      <c r="E46" t="s">
        <v>446</v>
      </c>
      <c r="F46" t="s">
        <v>447</v>
      </c>
      <c r="G46" t="s">
        <v>448</v>
      </c>
      <c r="H46" t="s">
        <v>449</v>
      </c>
      <c r="I46" t="s">
        <v>450</v>
      </c>
      <c r="J46" t="s">
        <v>450</v>
      </c>
      <c r="K46" t="s">
        <v>451</v>
      </c>
      <c r="L46" t="s">
        <v>152</v>
      </c>
      <c r="M46" t="s">
        <v>445</v>
      </c>
      <c r="O46" t="s">
        <v>452</v>
      </c>
      <c r="P46" t="b">
        <v>1</v>
      </c>
      <c r="Q46" t="s">
        <v>453</v>
      </c>
      <c r="R46" t="s">
        <v>454</v>
      </c>
    </row>
    <row r="47" spans="1:18" x14ac:dyDescent="0.25">
      <c r="B47">
        <v>46</v>
      </c>
      <c r="C47" t="s">
        <v>455</v>
      </c>
      <c r="E47" t="s">
        <v>456</v>
      </c>
      <c r="F47" t="s">
        <v>457</v>
      </c>
      <c r="G47" t="s">
        <v>458</v>
      </c>
      <c r="H47" t="s">
        <v>459</v>
      </c>
      <c r="I47" t="s">
        <v>176</v>
      </c>
      <c r="J47" t="s">
        <v>367</v>
      </c>
      <c r="K47" t="s">
        <v>338</v>
      </c>
      <c r="L47" t="s">
        <v>152</v>
      </c>
      <c r="M47" t="s">
        <v>455</v>
      </c>
      <c r="O47" t="s">
        <v>460</v>
      </c>
      <c r="P47" t="b">
        <v>1</v>
      </c>
      <c r="Q47" t="s">
        <v>461</v>
      </c>
      <c r="R47" t="s">
        <v>462</v>
      </c>
    </row>
    <row r="48" spans="1:18" x14ac:dyDescent="0.25">
      <c r="B48">
        <v>47</v>
      </c>
      <c r="C48" t="s">
        <v>463</v>
      </c>
      <c r="E48" t="s">
        <v>464</v>
      </c>
      <c r="F48" t="s">
        <v>465</v>
      </c>
      <c r="G48" t="s">
        <v>466</v>
      </c>
      <c r="H48" t="s">
        <v>467</v>
      </c>
      <c r="I48" t="s">
        <v>348</v>
      </c>
      <c r="J48" t="s">
        <v>348</v>
      </c>
      <c r="K48" t="s">
        <v>349</v>
      </c>
      <c r="L48" t="s">
        <v>152</v>
      </c>
      <c r="M48" t="s">
        <v>463</v>
      </c>
      <c r="O48" t="s">
        <v>468</v>
      </c>
      <c r="P48" t="b">
        <v>1</v>
      </c>
      <c r="Q48" t="s">
        <v>469</v>
      </c>
      <c r="R48" t="s">
        <v>470</v>
      </c>
    </row>
    <row r="49" spans="2:18" x14ac:dyDescent="0.25">
      <c r="B49">
        <v>48</v>
      </c>
      <c r="C49" t="s">
        <v>471</v>
      </c>
      <c r="E49" t="s">
        <v>472</v>
      </c>
      <c r="F49" t="s">
        <v>473</v>
      </c>
      <c r="G49" t="s">
        <v>474</v>
      </c>
      <c r="H49" t="s">
        <v>475</v>
      </c>
      <c r="I49" t="s">
        <v>348</v>
      </c>
      <c r="J49" t="s">
        <v>348</v>
      </c>
      <c r="K49" t="s">
        <v>349</v>
      </c>
      <c r="L49" t="s">
        <v>152</v>
      </c>
      <c r="M49" t="s">
        <v>471</v>
      </c>
      <c r="O49" t="s">
        <v>476</v>
      </c>
      <c r="P49" t="b">
        <v>1</v>
      </c>
      <c r="Q49" t="s">
        <v>477</v>
      </c>
      <c r="R49" t="s">
        <v>478</v>
      </c>
    </row>
    <row r="50" spans="2:18" x14ac:dyDescent="0.25">
      <c r="B50">
        <v>49</v>
      </c>
      <c r="C50" t="s">
        <v>479</v>
      </c>
      <c r="E50" t="s">
        <v>480</v>
      </c>
      <c r="F50" t="s">
        <v>481</v>
      </c>
      <c r="G50" t="s">
        <v>482</v>
      </c>
      <c r="H50" t="s">
        <v>483</v>
      </c>
      <c r="I50" t="s">
        <v>176</v>
      </c>
      <c r="J50" t="s">
        <v>484</v>
      </c>
      <c r="K50" t="s">
        <v>338</v>
      </c>
      <c r="L50" t="s">
        <v>152</v>
      </c>
      <c r="M50" t="s">
        <v>479</v>
      </c>
      <c r="O50" t="s">
        <v>350</v>
      </c>
      <c r="P50" t="b">
        <v>1</v>
      </c>
      <c r="Q50" t="s">
        <v>485</v>
      </c>
      <c r="R50" t="s">
        <v>486</v>
      </c>
    </row>
    <row r="51" spans="2:18" x14ac:dyDescent="0.25">
      <c r="B51">
        <v>50</v>
      </c>
      <c r="C51" t="s">
        <v>487</v>
      </c>
      <c r="E51" t="s">
        <v>488</v>
      </c>
      <c r="F51" t="s">
        <v>489</v>
      </c>
      <c r="G51" t="s">
        <v>490</v>
      </c>
      <c r="H51" t="s">
        <v>491</v>
      </c>
      <c r="I51" t="s">
        <v>176</v>
      </c>
      <c r="J51" t="s">
        <v>492</v>
      </c>
      <c r="K51" t="s">
        <v>765</v>
      </c>
      <c r="L51" t="s">
        <v>152</v>
      </c>
      <c r="M51" t="s">
        <v>487</v>
      </c>
      <c r="O51" t="s">
        <v>493</v>
      </c>
      <c r="P51" t="b">
        <v>1</v>
      </c>
      <c r="Q51" t="s">
        <v>494</v>
      </c>
      <c r="R51" t="s">
        <v>495</v>
      </c>
    </row>
    <row r="52" spans="2:18" x14ac:dyDescent="0.25">
      <c r="B52">
        <v>51</v>
      </c>
      <c r="C52" t="s">
        <v>496</v>
      </c>
      <c r="E52" t="s">
        <v>497</v>
      </c>
      <c r="F52" t="s">
        <v>498</v>
      </c>
      <c r="G52" t="s">
        <v>499</v>
      </c>
      <c r="H52" t="s">
        <v>500</v>
      </c>
      <c r="I52" t="s">
        <v>176</v>
      </c>
      <c r="J52" t="s">
        <v>484</v>
      </c>
      <c r="K52" t="s">
        <v>765</v>
      </c>
      <c r="L52" t="s">
        <v>152</v>
      </c>
      <c r="M52" t="s">
        <v>496</v>
      </c>
      <c r="O52" t="s">
        <v>501</v>
      </c>
      <c r="P52" t="b">
        <v>1</v>
      </c>
      <c r="Q52" t="s">
        <v>502</v>
      </c>
      <c r="R52" t="s">
        <v>503</v>
      </c>
    </row>
    <row r="53" spans="2:18" x14ac:dyDescent="0.25">
      <c r="B53">
        <v>52</v>
      </c>
      <c r="C53" t="s">
        <v>504</v>
      </c>
      <c r="E53" t="s">
        <v>505</v>
      </c>
      <c r="F53" t="s">
        <v>506</v>
      </c>
      <c r="G53" t="s">
        <v>507</v>
      </c>
      <c r="H53" t="s">
        <v>508</v>
      </c>
      <c r="I53" t="s">
        <v>176</v>
      </c>
      <c r="J53" t="s">
        <v>484</v>
      </c>
      <c r="K53" t="s">
        <v>338</v>
      </c>
      <c r="L53" t="s">
        <v>152</v>
      </c>
      <c r="M53" t="s">
        <v>504</v>
      </c>
      <c r="O53" t="s">
        <v>509</v>
      </c>
      <c r="P53" t="b">
        <v>1</v>
      </c>
      <c r="Q53" t="s">
        <v>510</v>
      </c>
      <c r="R53" t="s">
        <v>511</v>
      </c>
    </row>
    <row r="54" spans="2:18" x14ac:dyDescent="0.25">
      <c r="B54">
        <v>53</v>
      </c>
      <c r="C54" t="s">
        <v>512</v>
      </c>
      <c r="E54" t="s">
        <v>513</v>
      </c>
      <c r="F54" t="s">
        <v>514</v>
      </c>
      <c r="G54" t="s">
        <v>515</v>
      </c>
      <c r="H54" t="s">
        <v>516</v>
      </c>
      <c r="I54" t="s">
        <v>176</v>
      </c>
      <c r="J54" t="s">
        <v>484</v>
      </c>
      <c r="K54" t="s">
        <v>765</v>
      </c>
      <c r="L54" t="s">
        <v>152</v>
      </c>
      <c r="M54" t="s">
        <v>512</v>
      </c>
      <c r="O54" t="s">
        <v>517</v>
      </c>
      <c r="P54" t="b">
        <v>1</v>
      </c>
      <c r="Q54" t="s">
        <v>518</v>
      </c>
      <c r="R54" t="s">
        <v>519</v>
      </c>
    </row>
    <row r="55" spans="2:18" x14ac:dyDescent="0.25">
      <c r="B55">
        <v>54</v>
      </c>
      <c r="C55" t="s">
        <v>520</v>
      </c>
      <c r="E55" t="s">
        <v>521</v>
      </c>
      <c r="F55" t="s">
        <v>522</v>
      </c>
      <c r="G55" t="s">
        <v>523</v>
      </c>
      <c r="H55" t="s">
        <v>524</v>
      </c>
      <c r="I55" t="s">
        <v>176</v>
      </c>
      <c r="J55" t="s">
        <v>492</v>
      </c>
      <c r="K55" t="s">
        <v>338</v>
      </c>
      <c r="L55" t="s">
        <v>152</v>
      </c>
      <c r="M55" t="s">
        <v>520</v>
      </c>
      <c r="O55" t="s">
        <v>525</v>
      </c>
      <c r="P55" t="b">
        <v>1</v>
      </c>
      <c r="Q55" t="s">
        <v>526</v>
      </c>
      <c r="R55" t="s">
        <v>527</v>
      </c>
    </row>
    <row r="56" spans="2:18" x14ac:dyDescent="0.25">
      <c r="B56">
        <v>55</v>
      </c>
      <c r="C56" t="s">
        <v>112</v>
      </c>
      <c r="E56" t="s">
        <v>528</v>
      </c>
      <c r="F56" t="s">
        <v>529</v>
      </c>
      <c r="G56" t="s">
        <v>530</v>
      </c>
      <c r="H56" t="s">
        <v>44</v>
      </c>
      <c r="I56" t="s">
        <v>122</v>
      </c>
      <c r="J56" t="s">
        <v>123</v>
      </c>
      <c r="K56" t="s">
        <v>144</v>
      </c>
      <c r="L56" t="s">
        <v>152</v>
      </c>
      <c r="M56" t="s">
        <v>112</v>
      </c>
      <c r="O56" t="s">
        <v>531</v>
      </c>
      <c r="P56" t="b">
        <v>1</v>
      </c>
      <c r="Q56" t="s">
        <v>532</v>
      </c>
      <c r="R56" t="s">
        <v>533</v>
      </c>
    </row>
    <row r="57" spans="2:18" x14ac:dyDescent="0.25">
      <c r="B57">
        <v>56</v>
      </c>
      <c r="C57" t="s">
        <v>80</v>
      </c>
      <c r="E57" t="s">
        <v>48</v>
      </c>
      <c r="F57" t="s">
        <v>534</v>
      </c>
      <c r="G57" t="s">
        <v>535</v>
      </c>
      <c r="H57" t="s">
        <v>50</v>
      </c>
      <c r="I57" t="s">
        <v>122</v>
      </c>
      <c r="J57" t="s">
        <v>123</v>
      </c>
      <c r="K57" t="s">
        <v>766</v>
      </c>
      <c r="L57" t="s">
        <v>152</v>
      </c>
      <c r="M57" t="s">
        <v>80</v>
      </c>
      <c r="O57" t="s">
        <v>536</v>
      </c>
      <c r="P57" t="b">
        <v>1</v>
      </c>
      <c r="Q57" t="s">
        <v>537</v>
      </c>
      <c r="R57" t="s">
        <v>538</v>
      </c>
    </row>
    <row r="58" spans="2:18" x14ac:dyDescent="0.25">
      <c r="B58">
        <v>57</v>
      </c>
      <c r="C58" t="s">
        <v>539</v>
      </c>
      <c r="E58" t="s">
        <v>540</v>
      </c>
      <c r="F58" t="s">
        <v>541</v>
      </c>
      <c r="G58" t="s">
        <v>542</v>
      </c>
      <c r="H58" t="s">
        <v>5</v>
      </c>
      <c r="I58" t="s">
        <v>122</v>
      </c>
      <c r="J58" t="s">
        <v>123</v>
      </c>
      <c r="K58" t="s">
        <v>144</v>
      </c>
      <c r="L58" t="s">
        <v>152</v>
      </c>
      <c r="M58" t="s">
        <v>543</v>
      </c>
      <c r="O58" t="s">
        <v>544</v>
      </c>
      <c r="P58" t="b">
        <v>1</v>
      </c>
      <c r="Q58" t="s">
        <v>545</v>
      </c>
      <c r="R58" t="s">
        <v>546</v>
      </c>
    </row>
    <row r="59" spans="2:18" x14ac:dyDescent="0.25">
      <c r="B59">
        <v>58</v>
      </c>
      <c r="C59" t="s">
        <v>547</v>
      </c>
      <c r="E59" t="s">
        <v>548</v>
      </c>
      <c r="F59" t="s">
        <v>549</v>
      </c>
      <c r="G59" t="s">
        <v>550</v>
      </c>
      <c r="H59" t="s">
        <v>10</v>
      </c>
      <c r="I59" t="s">
        <v>122</v>
      </c>
      <c r="J59" t="s">
        <v>123</v>
      </c>
      <c r="K59" t="s">
        <v>144</v>
      </c>
      <c r="L59" t="s">
        <v>152</v>
      </c>
      <c r="M59" t="s">
        <v>551</v>
      </c>
      <c r="O59" t="s">
        <v>552</v>
      </c>
      <c r="P59" t="b">
        <v>1</v>
      </c>
      <c r="Q59" t="s">
        <v>553</v>
      </c>
      <c r="R59" t="s">
        <v>554</v>
      </c>
    </row>
    <row r="60" spans="2:18" x14ac:dyDescent="0.25">
      <c r="B60" t="s">
        <v>555</v>
      </c>
      <c r="C60" t="s">
        <v>556</v>
      </c>
      <c r="E60" t="s">
        <v>557</v>
      </c>
      <c r="F60" t="s">
        <v>558</v>
      </c>
      <c r="G60" t="s">
        <v>559</v>
      </c>
      <c r="H60" t="s">
        <v>560</v>
      </c>
      <c r="I60" t="s">
        <v>176</v>
      </c>
      <c r="J60" t="s">
        <v>484</v>
      </c>
      <c r="K60" t="s">
        <v>767</v>
      </c>
      <c r="L60" t="s">
        <v>152</v>
      </c>
      <c r="M60" t="s">
        <v>556</v>
      </c>
      <c r="O60" t="s">
        <v>561</v>
      </c>
      <c r="P60" t="b">
        <v>1</v>
      </c>
      <c r="Q60" t="s">
        <v>562</v>
      </c>
      <c r="R60" t="s">
        <v>563</v>
      </c>
    </row>
    <row r="61" spans="2:18" x14ac:dyDescent="0.25">
      <c r="B61">
        <v>60</v>
      </c>
      <c r="C61" t="s">
        <v>87</v>
      </c>
      <c r="E61" t="s">
        <v>70</v>
      </c>
      <c r="F61" t="s">
        <v>564</v>
      </c>
      <c r="G61" t="s">
        <v>565</v>
      </c>
      <c r="H61" t="s">
        <v>53</v>
      </c>
      <c r="I61" t="s">
        <v>122</v>
      </c>
      <c r="J61" t="s">
        <v>123</v>
      </c>
      <c r="K61" t="s">
        <v>766</v>
      </c>
      <c r="L61" t="s">
        <v>152</v>
      </c>
      <c r="M61" t="s">
        <v>87</v>
      </c>
      <c r="O61" t="s">
        <v>566</v>
      </c>
      <c r="P61" t="b">
        <v>1</v>
      </c>
      <c r="Q61" t="s">
        <v>567</v>
      </c>
      <c r="R61" t="s">
        <v>568</v>
      </c>
    </row>
    <row r="62" spans="2:18" x14ac:dyDescent="0.25">
      <c r="B62">
        <v>61</v>
      </c>
      <c r="C62" t="s">
        <v>569</v>
      </c>
      <c r="E62" t="s">
        <v>570</v>
      </c>
      <c r="F62" t="s">
        <v>571</v>
      </c>
      <c r="G62" t="s">
        <v>572</v>
      </c>
      <c r="H62" t="s">
        <v>573</v>
      </c>
      <c r="I62" t="s">
        <v>176</v>
      </c>
      <c r="J62" t="s">
        <v>484</v>
      </c>
      <c r="K62" t="s">
        <v>765</v>
      </c>
      <c r="L62" t="s">
        <v>152</v>
      </c>
      <c r="M62" t="s">
        <v>569</v>
      </c>
      <c r="O62" t="s">
        <v>574</v>
      </c>
      <c r="P62" t="b">
        <v>1</v>
      </c>
      <c r="Q62" t="s">
        <v>575</v>
      </c>
      <c r="R62" t="s">
        <v>576</v>
      </c>
    </row>
    <row r="63" spans="2:18" x14ac:dyDescent="0.25">
      <c r="B63">
        <v>62</v>
      </c>
      <c r="C63" t="s">
        <v>577</v>
      </c>
      <c r="E63" t="s">
        <v>578</v>
      </c>
      <c r="F63" t="s">
        <v>579</v>
      </c>
      <c r="G63" t="s">
        <v>580</v>
      </c>
      <c r="H63" t="s">
        <v>14</v>
      </c>
      <c r="I63" t="s">
        <v>122</v>
      </c>
      <c r="J63" t="s">
        <v>123</v>
      </c>
      <c r="K63" t="s">
        <v>144</v>
      </c>
      <c r="L63" t="s">
        <v>152</v>
      </c>
      <c r="M63" t="s">
        <v>581</v>
      </c>
      <c r="O63" t="s">
        <v>582</v>
      </c>
      <c r="P63" t="b">
        <v>1</v>
      </c>
      <c r="Q63" t="s">
        <v>583</v>
      </c>
      <c r="R63" t="s">
        <v>584</v>
      </c>
    </row>
    <row r="64" spans="2:18" x14ac:dyDescent="0.25">
      <c r="B64">
        <v>63</v>
      </c>
      <c r="C64" t="s">
        <v>585</v>
      </c>
      <c r="E64" t="s">
        <v>586</v>
      </c>
      <c r="F64" t="s">
        <v>587</v>
      </c>
      <c r="G64" t="s">
        <v>588</v>
      </c>
      <c r="H64" t="s">
        <v>38</v>
      </c>
      <c r="I64" t="s">
        <v>122</v>
      </c>
      <c r="J64" t="s">
        <v>123</v>
      </c>
      <c r="K64" t="s">
        <v>144</v>
      </c>
      <c r="L64" t="s">
        <v>152</v>
      </c>
      <c r="M64" t="s">
        <v>589</v>
      </c>
      <c r="O64" t="s">
        <v>590</v>
      </c>
      <c r="P64" t="b">
        <v>1</v>
      </c>
      <c r="Q64" t="s">
        <v>591</v>
      </c>
      <c r="R64" t="s">
        <v>592</v>
      </c>
    </row>
    <row r="65" spans="2:18" x14ac:dyDescent="0.25">
      <c r="B65">
        <v>64</v>
      </c>
      <c r="C65" t="s">
        <v>86</v>
      </c>
      <c r="E65" t="s">
        <v>66</v>
      </c>
      <c r="F65" t="s">
        <v>593</v>
      </c>
      <c r="G65" t="s">
        <v>594</v>
      </c>
      <c r="H65" t="s">
        <v>52</v>
      </c>
      <c r="I65" t="s">
        <v>122</v>
      </c>
      <c r="J65" t="s">
        <v>123</v>
      </c>
      <c r="K65" t="s">
        <v>768</v>
      </c>
      <c r="L65" t="s">
        <v>152</v>
      </c>
      <c r="M65" t="s">
        <v>86</v>
      </c>
      <c r="O65" t="s">
        <v>595</v>
      </c>
      <c r="P65" t="b">
        <v>1</v>
      </c>
      <c r="Q65" t="s">
        <v>596</v>
      </c>
      <c r="R65" t="s">
        <v>597</v>
      </c>
    </row>
    <row r="66" spans="2:18" x14ac:dyDescent="0.25">
      <c r="B66">
        <v>65</v>
      </c>
      <c r="C66" t="s">
        <v>598</v>
      </c>
      <c r="E66" t="s">
        <v>599</v>
      </c>
      <c r="F66" t="s">
        <v>600</v>
      </c>
      <c r="G66" t="s">
        <v>601</v>
      </c>
      <c r="H66" t="s">
        <v>602</v>
      </c>
      <c r="I66" t="s">
        <v>176</v>
      </c>
      <c r="J66" t="s">
        <v>603</v>
      </c>
      <c r="K66" t="s">
        <v>769</v>
      </c>
      <c r="L66" t="s">
        <v>152</v>
      </c>
      <c r="N66" t="s">
        <v>604</v>
      </c>
      <c r="O66" t="s">
        <v>605</v>
      </c>
      <c r="P66" t="b">
        <v>1</v>
      </c>
      <c r="Q66" t="s">
        <v>606</v>
      </c>
      <c r="R66" t="s">
        <v>607</v>
      </c>
    </row>
    <row r="67" spans="2:18" x14ac:dyDescent="0.25">
      <c r="B67">
        <v>66</v>
      </c>
      <c r="C67" t="s">
        <v>608</v>
      </c>
      <c r="E67" t="s">
        <v>609</v>
      </c>
      <c r="F67" t="s">
        <v>610</v>
      </c>
      <c r="G67" t="s">
        <v>611</v>
      </c>
      <c r="H67" t="s">
        <v>612</v>
      </c>
      <c r="I67" t="s">
        <v>122</v>
      </c>
      <c r="J67" t="s">
        <v>123</v>
      </c>
      <c r="K67" t="s">
        <v>768</v>
      </c>
      <c r="L67" t="s">
        <v>152</v>
      </c>
      <c r="M67" t="s">
        <v>608</v>
      </c>
      <c r="O67" t="s">
        <v>613</v>
      </c>
      <c r="P67" t="b">
        <v>1</v>
      </c>
      <c r="Q67" t="s">
        <v>614</v>
      </c>
      <c r="R67" t="s">
        <v>615</v>
      </c>
    </row>
    <row r="68" spans="2:18" x14ac:dyDescent="0.25">
      <c r="B68">
        <v>67</v>
      </c>
      <c r="C68" t="s">
        <v>616</v>
      </c>
      <c r="E68" t="s">
        <v>617</v>
      </c>
      <c r="F68" t="s">
        <v>618</v>
      </c>
      <c r="G68" t="s">
        <v>619</v>
      </c>
      <c r="H68" t="s">
        <v>2</v>
      </c>
      <c r="I68" t="s">
        <v>122</v>
      </c>
      <c r="J68" t="s">
        <v>123</v>
      </c>
      <c r="K68" t="s">
        <v>144</v>
      </c>
      <c r="L68" t="s">
        <v>152</v>
      </c>
      <c r="M68" t="s">
        <v>620</v>
      </c>
      <c r="O68" t="s">
        <v>621</v>
      </c>
      <c r="P68" t="b">
        <v>1</v>
      </c>
      <c r="Q68" t="s">
        <v>622</v>
      </c>
      <c r="R68" t="s">
        <v>623</v>
      </c>
    </row>
    <row r="69" spans="2:18" x14ac:dyDescent="0.25">
      <c r="B69">
        <v>68</v>
      </c>
      <c r="C69" t="s">
        <v>624</v>
      </c>
      <c r="E69" t="s">
        <v>625</v>
      </c>
      <c r="F69" t="s">
        <v>626</v>
      </c>
      <c r="G69" t="s">
        <v>627</v>
      </c>
      <c r="H69" t="s">
        <v>628</v>
      </c>
      <c r="I69" t="s">
        <v>176</v>
      </c>
      <c r="J69" t="s">
        <v>603</v>
      </c>
      <c r="K69" t="s">
        <v>629</v>
      </c>
      <c r="L69" t="s">
        <v>152</v>
      </c>
      <c r="O69" t="s">
        <v>630</v>
      </c>
      <c r="P69" t="b">
        <v>1</v>
      </c>
      <c r="Q69" t="s">
        <v>631</v>
      </c>
      <c r="R69" t="s">
        <v>632</v>
      </c>
    </row>
    <row r="70" spans="2:18" x14ac:dyDescent="0.25">
      <c r="B70">
        <v>69</v>
      </c>
      <c r="C70" t="s">
        <v>633</v>
      </c>
      <c r="E70" t="s">
        <v>634</v>
      </c>
      <c r="F70" t="s">
        <v>635</v>
      </c>
      <c r="G70" t="s">
        <v>636</v>
      </c>
      <c r="H70" t="s">
        <v>22</v>
      </c>
      <c r="I70" t="s">
        <v>122</v>
      </c>
      <c r="J70" t="s">
        <v>123</v>
      </c>
      <c r="K70" t="s">
        <v>144</v>
      </c>
      <c r="L70" t="s">
        <v>152</v>
      </c>
      <c r="M70" t="s">
        <v>637</v>
      </c>
      <c r="O70" t="s">
        <v>638</v>
      </c>
      <c r="P70" t="b">
        <v>1</v>
      </c>
      <c r="Q70" t="s">
        <v>639</v>
      </c>
      <c r="R70" t="s">
        <v>640</v>
      </c>
    </row>
    <row r="71" spans="2:18" x14ac:dyDescent="0.25">
      <c r="B71">
        <v>70</v>
      </c>
      <c r="C71" t="s">
        <v>641</v>
      </c>
      <c r="E71" t="s">
        <v>25</v>
      </c>
      <c r="F71" t="s">
        <v>642</v>
      </c>
      <c r="G71" t="s">
        <v>643</v>
      </c>
      <c r="H71" t="s">
        <v>26</v>
      </c>
      <c r="I71" t="s">
        <v>122</v>
      </c>
      <c r="J71" t="s">
        <v>123</v>
      </c>
      <c r="K71" t="s">
        <v>644</v>
      </c>
      <c r="L71" t="s">
        <v>152</v>
      </c>
      <c r="M71" t="s">
        <v>641</v>
      </c>
      <c r="O71" t="s">
        <v>645</v>
      </c>
      <c r="P71" t="b">
        <v>1</v>
      </c>
      <c r="Q71" t="s">
        <v>646</v>
      </c>
      <c r="R71" t="s">
        <v>647</v>
      </c>
    </row>
    <row r="72" spans="2:18" x14ac:dyDescent="0.25">
      <c r="B72">
        <v>71</v>
      </c>
      <c r="C72" t="s">
        <v>648</v>
      </c>
      <c r="E72" t="s">
        <v>649</v>
      </c>
      <c r="F72" t="s">
        <v>650</v>
      </c>
      <c r="G72" t="s">
        <v>651</v>
      </c>
      <c r="H72" t="s">
        <v>652</v>
      </c>
      <c r="I72" t="s">
        <v>122</v>
      </c>
      <c r="J72" t="s">
        <v>123</v>
      </c>
      <c r="K72" t="s">
        <v>543</v>
      </c>
      <c r="L72" t="s">
        <v>152</v>
      </c>
      <c r="M72" t="s">
        <v>654</v>
      </c>
      <c r="O72" t="s">
        <v>655</v>
      </c>
      <c r="P72" t="b">
        <v>1</v>
      </c>
      <c r="Q72" t="s">
        <v>656</v>
      </c>
      <c r="R72" t="s">
        <v>657</v>
      </c>
    </row>
    <row r="73" spans="2:18" x14ac:dyDescent="0.25">
      <c r="B73">
        <v>72</v>
      </c>
      <c r="C73" t="s">
        <v>658</v>
      </c>
      <c r="E73" t="s">
        <v>659</v>
      </c>
      <c r="F73" t="s">
        <v>660</v>
      </c>
      <c r="G73" t="s">
        <v>661</v>
      </c>
      <c r="H73" t="s">
        <v>662</v>
      </c>
      <c r="I73" t="s">
        <v>348</v>
      </c>
      <c r="J73" t="s">
        <v>348</v>
      </c>
      <c r="K73" t="s">
        <v>349</v>
      </c>
      <c r="L73" t="s">
        <v>152</v>
      </c>
      <c r="O73" t="s">
        <v>663</v>
      </c>
      <c r="P73" t="b">
        <v>1</v>
      </c>
      <c r="Q73" t="s">
        <v>664</v>
      </c>
      <c r="R73" t="s">
        <v>665</v>
      </c>
    </row>
    <row r="74" spans="2:18" x14ac:dyDescent="0.25">
      <c r="B74">
        <v>73</v>
      </c>
      <c r="C74" t="s">
        <v>666</v>
      </c>
      <c r="E74" t="s">
        <v>46</v>
      </c>
      <c r="F74" t="s">
        <v>667</v>
      </c>
      <c r="G74" t="s">
        <v>668</v>
      </c>
      <c r="H74" t="s">
        <v>47</v>
      </c>
      <c r="I74" t="s">
        <v>122</v>
      </c>
      <c r="J74" t="s">
        <v>123</v>
      </c>
      <c r="K74" t="s">
        <v>124</v>
      </c>
      <c r="L74" t="s">
        <v>152</v>
      </c>
      <c r="M74" t="s">
        <v>666</v>
      </c>
      <c r="O74" t="s">
        <v>669</v>
      </c>
      <c r="P74" t="s">
        <v>401</v>
      </c>
      <c r="Q74" t="s">
        <v>670</v>
      </c>
      <c r="R74" t="s">
        <v>671</v>
      </c>
    </row>
    <row r="75" spans="2:18" x14ac:dyDescent="0.25">
      <c r="B75">
        <v>74</v>
      </c>
      <c r="C75" t="s">
        <v>369</v>
      </c>
      <c r="E75" t="s">
        <v>672</v>
      </c>
      <c r="F75" t="s">
        <v>673</v>
      </c>
      <c r="G75" t="s">
        <v>674</v>
      </c>
      <c r="H75" t="s">
        <v>675</v>
      </c>
      <c r="I75" t="s">
        <v>122</v>
      </c>
      <c r="J75" t="s">
        <v>123</v>
      </c>
      <c r="K75" t="s">
        <v>151</v>
      </c>
      <c r="L75" t="s">
        <v>152</v>
      </c>
      <c r="M75" t="s">
        <v>369</v>
      </c>
      <c r="N75" t="s">
        <v>676</v>
      </c>
      <c r="O75" t="s">
        <v>374</v>
      </c>
      <c r="P75" t="b">
        <v>1</v>
      </c>
      <c r="Q75" t="s">
        <v>677</v>
      </c>
      <c r="R75" t="s">
        <v>678</v>
      </c>
    </row>
    <row r="76" spans="2:18" x14ac:dyDescent="0.25">
      <c r="B76">
        <v>75</v>
      </c>
      <c r="C76" t="s">
        <v>679</v>
      </c>
      <c r="E76" t="s">
        <v>680</v>
      </c>
      <c r="F76" t="s">
        <v>681</v>
      </c>
      <c r="G76" t="s">
        <v>682</v>
      </c>
      <c r="H76" t="s">
        <v>683</v>
      </c>
      <c r="I76" t="s">
        <v>348</v>
      </c>
      <c r="J76" t="s">
        <v>348</v>
      </c>
      <c r="K76" t="s">
        <v>349</v>
      </c>
      <c r="L76" t="s">
        <v>152</v>
      </c>
      <c r="O76" t="s">
        <v>684</v>
      </c>
      <c r="P76" t="b">
        <v>1</v>
      </c>
      <c r="Q76" t="s">
        <v>685</v>
      </c>
      <c r="R76" t="s">
        <v>686</v>
      </c>
    </row>
    <row r="77" spans="2:18" x14ac:dyDescent="0.25">
      <c r="B77">
        <v>76</v>
      </c>
      <c r="C77" t="s">
        <v>687</v>
      </c>
      <c r="E77" t="s">
        <v>688</v>
      </c>
      <c r="F77" t="s">
        <v>689</v>
      </c>
      <c r="G77" t="s">
        <v>690</v>
      </c>
      <c r="H77" t="s">
        <v>691</v>
      </c>
      <c r="I77" t="s">
        <v>122</v>
      </c>
      <c r="J77" t="s">
        <v>123</v>
      </c>
      <c r="K77" t="s">
        <v>144</v>
      </c>
      <c r="L77" t="s">
        <v>152</v>
      </c>
      <c r="O77" t="s">
        <v>692</v>
      </c>
      <c r="P77" t="b">
        <v>1</v>
      </c>
      <c r="Q77" t="s">
        <v>693</v>
      </c>
      <c r="R77" t="s">
        <v>694</v>
      </c>
    </row>
    <row r="78" spans="2:18" x14ac:dyDescent="0.25">
      <c r="B78">
        <v>77</v>
      </c>
      <c r="C78" t="s">
        <v>695</v>
      </c>
      <c r="E78" t="s">
        <v>696</v>
      </c>
      <c r="F78" t="s">
        <v>697</v>
      </c>
      <c r="G78" t="s">
        <v>698</v>
      </c>
      <c r="H78" t="s">
        <v>699</v>
      </c>
      <c r="I78" t="s">
        <v>176</v>
      </c>
      <c r="J78" t="s">
        <v>700</v>
      </c>
      <c r="K78" t="s">
        <v>629</v>
      </c>
      <c r="L78" t="s">
        <v>701</v>
      </c>
      <c r="M78" t="s">
        <v>695</v>
      </c>
      <c r="O78" t="s">
        <v>702</v>
      </c>
      <c r="P78" t="b">
        <v>1</v>
      </c>
      <c r="Q78" t="s">
        <v>703</v>
      </c>
      <c r="R78" t="s">
        <v>704</v>
      </c>
    </row>
    <row r="79" spans="2:18" x14ac:dyDescent="0.25">
      <c r="B79">
        <v>78</v>
      </c>
      <c r="C79" t="s">
        <v>705</v>
      </c>
      <c r="E79" t="s">
        <v>706</v>
      </c>
      <c r="F79" t="s">
        <v>707</v>
      </c>
      <c r="G79" t="s">
        <v>708</v>
      </c>
      <c r="H79" t="s">
        <v>709</v>
      </c>
      <c r="I79" t="s">
        <v>176</v>
      </c>
      <c r="J79" t="s">
        <v>603</v>
      </c>
      <c r="K79" t="s">
        <v>710</v>
      </c>
      <c r="L79" t="s">
        <v>152</v>
      </c>
      <c r="M79" t="s">
        <v>705</v>
      </c>
      <c r="O79" t="s">
        <v>711</v>
      </c>
      <c r="P79" t="b">
        <v>1</v>
      </c>
      <c r="Q79" t="s">
        <v>712</v>
      </c>
      <c r="R79" t="s">
        <v>713</v>
      </c>
    </row>
    <row r="80" spans="2:18" x14ac:dyDescent="0.25">
      <c r="B80">
        <v>79</v>
      </c>
      <c r="C80" t="s">
        <v>714</v>
      </c>
      <c r="E80" t="s">
        <v>31</v>
      </c>
      <c r="F80" t="s">
        <v>715</v>
      </c>
      <c r="G80" t="s">
        <v>716</v>
      </c>
      <c r="H80" t="s">
        <v>32</v>
      </c>
      <c r="I80" t="s">
        <v>122</v>
      </c>
      <c r="J80" t="s">
        <v>123</v>
      </c>
      <c r="K80" t="s">
        <v>124</v>
      </c>
      <c r="L80" t="s">
        <v>152</v>
      </c>
      <c r="M80" t="s">
        <v>714</v>
      </c>
      <c r="O80" t="s">
        <v>717</v>
      </c>
      <c r="P80" t="b">
        <v>0</v>
      </c>
      <c r="Q80" t="s">
        <v>718</v>
      </c>
      <c r="R80" t="s">
        <v>719</v>
      </c>
    </row>
    <row r="81" spans="2:18" x14ac:dyDescent="0.25">
      <c r="B81">
        <v>80</v>
      </c>
      <c r="C81" t="s">
        <v>720</v>
      </c>
      <c r="E81" t="s">
        <v>721</v>
      </c>
      <c r="F81" t="s">
        <v>722</v>
      </c>
      <c r="G81" t="s">
        <v>723</v>
      </c>
      <c r="H81" t="s">
        <v>724</v>
      </c>
      <c r="I81" t="s">
        <v>176</v>
      </c>
      <c r="J81" t="s">
        <v>603</v>
      </c>
      <c r="K81" t="s">
        <v>710</v>
      </c>
      <c r="L81" t="s">
        <v>152</v>
      </c>
      <c r="M81" t="s">
        <v>720</v>
      </c>
      <c r="O81" t="s">
        <v>725</v>
      </c>
      <c r="P81" t="b">
        <v>1</v>
      </c>
      <c r="Q81" t="s">
        <v>726</v>
      </c>
      <c r="R81" t="s">
        <v>727</v>
      </c>
    </row>
    <row r="82" spans="2:18" x14ac:dyDescent="0.25">
      <c r="B82">
        <v>81</v>
      </c>
      <c r="C82" t="s">
        <v>728</v>
      </c>
      <c r="E82" t="s">
        <v>729</v>
      </c>
      <c r="F82" t="s">
        <v>730</v>
      </c>
      <c r="G82" t="s">
        <v>731</v>
      </c>
      <c r="H82" t="s">
        <v>732</v>
      </c>
      <c r="I82" t="s">
        <v>122</v>
      </c>
      <c r="J82" t="s">
        <v>123</v>
      </c>
      <c r="K82" t="s">
        <v>543</v>
      </c>
      <c r="L82" t="s">
        <v>152</v>
      </c>
      <c r="M82" t="s">
        <v>733</v>
      </c>
      <c r="O82" t="s">
        <v>221</v>
      </c>
      <c r="P82" t="b">
        <v>1</v>
      </c>
      <c r="Q82" t="s">
        <v>734</v>
      </c>
      <c r="R82" t="s">
        <v>735</v>
      </c>
    </row>
    <row r="83" spans="2:18" x14ac:dyDescent="0.25">
      <c r="B83">
        <v>82</v>
      </c>
      <c r="C83" t="s">
        <v>736</v>
      </c>
      <c r="E83" t="s">
        <v>737</v>
      </c>
      <c r="F83" t="s">
        <v>738</v>
      </c>
      <c r="G83" t="s">
        <v>739</v>
      </c>
      <c r="H83" t="s">
        <v>740</v>
      </c>
      <c r="I83" t="s">
        <v>122</v>
      </c>
      <c r="J83" t="s">
        <v>123</v>
      </c>
      <c r="K83" t="s">
        <v>543</v>
      </c>
      <c r="L83" t="s">
        <v>152</v>
      </c>
      <c r="M83" t="s">
        <v>741</v>
      </c>
      <c r="O83" t="s">
        <v>742</v>
      </c>
      <c r="P83" t="s">
        <v>222</v>
      </c>
      <c r="Q83" t="s">
        <v>743</v>
      </c>
      <c r="R83" t="s">
        <v>744</v>
      </c>
    </row>
    <row r="84" spans="2:18" x14ac:dyDescent="0.25">
      <c r="B84">
        <v>83</v>
      </c>
      <c r="C84" t="s">
        <v>391</v>
      </c>
      <c r="E84" t="s">
        <v>23</v>
      </c>
      <c r="F84" t="s">
        <v>745</v>
      </c>
      <c r="G84" t="s">
        <v>393</v>
      </c>
      <c r="H84" t="s">
        <v>746</v>
      </c>
      <c r="I84" t="s">
        <v>122</v>
      </c>
      <c r="J84" t="s">
        <v>123</v>
      </c>
      <c r="K84" t="s">
        <v>124</v>
      </c>
      <c r="L84" t="s">
        <v>152</v>
      </c>
      <c r="M84" t="s">
        <v>391</v>
      </c>
      <c r="O84" t="s">
        <v>747</v>
      </c>
      <c r="P84" t="b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62F3-B94B-42F8-AFE5-82C90BCBC963}">
  <dimension ref="A1:Q76"/>
  <sheetViews>
    <sheetView workbookViewId="0">
      <selection activeCell="B37" sqref="B37"/>
    </sheetView>
  </sheetViews>
  <sheetFormatPr defaultRowHeight="15" x14ac:dyDescent="0.25"/>
  <cols>
    <col min="1" max="1" width="10.5703125" bestFit="1" customWidth="1"/>
    <col min="2" max="2" width="30.7109375" customWidth="1"/>
    <col min="3" max="3" width="14.140625" bestFit="1" customWidth="1"/>
    <col min="4" max="4" width="15.85546875" bestFit="1" customWidth="1"/>
    <col min="5" max="5" width="49.28515625" bestFit="1" customWidth="1"/>
    <col min="6" max="6" width="51" bestFit="1" customWidth="1"/>
    <col min="7" max="7" width="17.85546875" bestFit="1" customWidth="1"/>
    <col min="8" max="8" width="12.85546875" bestFit="1" customWidth="1"/>
    <col min="9" max="9" width="11.7109375" bestFit="1" customWidth="1"/>
    <col min="10" max="10" width="16" bestFit="1" customWidth="1"/>
    <col min="11" max="11" width="14.42578125" bestFit="1" customWidth="1"/>
    <col min="12" max="12" width="98" bestFit="1" customWidth="1"/>
    <col min="13" max="13" width="53.28515625" bestFit="1" customWidth="1"/>
    <col min="14" max="14" width="12.140625" bestFit="1" customWidth="1"/>
    <col min="15" max="15" width="7.42578125" bestFit="1" customWidth="1"/>
    <col min="16" max="16" width="96.42578125" bestFit="1" customWidth="1"/>
    <col min="17" max="17" width="38.85546875" bestFit="1" customWidth="1"/>
  </cols>
  <sheetData>
    <row r="1" spans="1:17" x14ac:dyDescent="0.25">
      <c r="A1" t="s">
        <v>748</v>
      </c>
      <c r="B1" t="s">
        <v>775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759</v>
      </c>
      <c r="M1" t="s">
        <v>760</v>
      </c>
      <c r="N1" t="s">
        <v>761</v>
      </c>
      <c r="O1" t="s">
        <v>762</v>
      </c>
      <c r="P1" t="s">
        <v>763</v>
      </c>
      <c r="Q1" t="s">
        <v>764</v>
      </c>
    </row>
    <row r="2" spans="1:17" x14ac:dyDescent="0.25">
      <c r="A2">
        <v>1</v>
      </c>
      <c r="B2" t="s">
        <v>98</v>
      </c>
      <c r="D2" t="s">
        <v>69</v>
      </c>
      <c r="E2" t="s">
        <v>120</v>
      </c>
      <c r="F2" t="s">
        <v>121</v>
      </c>
      <c r="G2" t="s">
        <v>58</v>
      </c>
      <c r="H2" t="s">
        <v>122</v>
      </c>
      <c r="I2" t="s">
        <v>123</v>
      </c>
      <c r="J2" t="s">
        <v>124</v>
      </c>
      <c r="K2" t="s">
        <v>125</v>
      </c>
      <c r="L2" t="s">
        <v>98</v>
      </c>
      <c r="M2" t="s">
        <v>126</v>
      </c>
      <c r="N2" t="s">
        <v>127</v>
      </c>
      <c r="O2" t="b">
        <v>1</v>
      </c>
      <c r="P2" t="s">
        <v>128</v>
      </c>
      <c r="Q2" t="s">
        <v>129</v>
      </c>
    </row>
    <row r="3" spans="1:17" x14ac:dyDescent="0.25">
      <c r="A3">
        <v>2</v>
      </c>
      <c r="B3" t="s">
        <v>130</v>
      </c>
      <c r="D3" t="s">
        <v>131</v>
      </c>
      <c r="E3" t="s">
        <v>132</v>
      </c>
      <c r="F3" t="s">
        <v>133</v>
      </c>
      <c r="G3" t="s">
        <v>134</v>
      </c>
      <c r="H3" t="s">
        <v>122</v>
      </c>
      <c r="I3" t="s">
        <v>123</v>
      </c>
      <c r="J3" t="s">
        <v>124</v>
      </c>
      <c r="K3" t="s">
        <v>125</v>
      </c>
      <c r="L3" t="s">
        <v>130</v>
      </c>
      <c r="M3" t="s">
        <v>135</v>
      </c>
      <c r="N3" t="s">
        <v>136</v>
      </c>
      <c r="O3" t="b">
        <v>1</v>
      </c>
      <c r="P3" t="s">
        <v>137</v>
      </c>
      <c r="Q3" t="s">
        <v>138</v>
      </c>
    </row>
    <row r="4" spans="1:17" x14ac:dyDescent="0.25">
      <c r="A4">
        <v>3</v>
      </c>
      <c r="B4" t="s">
        <v>139</v>
      </c>
      <c r="D4" t="s">
        <v>140</v>
      </c>
      <c r="E4" t="s">
        <v>141</v>
      </c>
      <c r="F4" t="s">
        <v>142</v>
      </c>
      <c r="G4" t="s">
        <v>143</v>
      </c>
      <c r="H4" t="s">
        <v>122</v>
      </c>
      <c r="I4" t="s">
        <v>123</v>
      </c>
      <c r="J4" t="s">
        <v>144</v>
      </c>
      <c r="K4" t="s">
        <v>125</v>
      </c>
      <c r="L4" t="s">
        <v>145</v>
      </c>
      <c r="M4" t="s">
        <v>126</v>
      </c>
      <c r="N4" t="s">
        <v>146</v>
      </c>
      <c r="O4" t="b">
        <v>0</v>
      </c>
      <c r="P4" t="s">
        <v>147</v>
      </c>
      <c r="Q4" t="s">
        <v>148</v>
      </c>
    </row>
    <row r="5" spans="1:17" x14ac:dyDescent="0.25">
      <c r="A5">
        <v>4</v>
      </c>
      <c r="B5" t="s">
        <v>78</v>
      </c>
      <c r="D5" t="s">
        <v>65</v>
      </c>
      <c r="E5" t="s">
        <v>149</v>
      </c>
      <c r="F5" t="s">
        <v>150</v>
      </c>
      <c r="G5" t="s">
        <v>64</v>
      </c>
      <c r="H5" t="s">
        <v>122</v>
      </c>
      <c r="I5" t="s">
        <v>123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b">
        <v>1</v>
      </c>
      <c r="P5" t="s">
        <v>156</v>
      </c>
      <c r="Q5" t="s">
        <v>157</v>
      </c>
    </row>
    <row r="6" spans="1:17" x14ac:dyDescent="0.25">
      <c r="A6">
        <v>5</v>
      </c>
      <c r="B6" t="s">
        <v>158</v>
      </c>
      <c r="D6" t="s">
        <v>19</v>
      </c>
      <c r="E6" t="s">
        <v>159</v>
      </c>
      <c r="F6" t="s">
        <v>160</v>
      </c>
      <c r="G6" t="s">
        <v>20</v>
      </c>
      <c r="H6" t="s">
        <v>122</v>
      </c>
      <c r="I6" t="s">
        <v>123</v>
      </c>
      <c r="J6" t="s">
        <v>151</v>
      </c>
      <c r="K6" t="s">
        <v>152</v>
      </c>
      <c r="L6" t="s">
        <v>158</v>
      </c>
      <c r="N6" t="s">
        <v>161</v>
      </c>
      <c r="O6" t="b">
        <v>1</v>
      </c>
      <c r="P6" t="s">
        <v>162</v>
      </c>
      <c r="Q6" t="s">
        <v>163</v>
      </c>
    </row>
    <row r="7" spans="1:17" x14ac:dyDescent="0.25">
      <c r="A7">
        <v>6</v>
      </c>
      <c r="B7" t="s">
        <v>164</v>
      </c>
      <c r="D7" t="s">
        <v>12</v>
      </c>
      <c r="E7" t="s">
        <v>165</v>
      </c>
      <c r="F7" t="s">
        <v>166</v>
      </c>
      <c r="G7" t="s">
        <v>13</v>
      </c>
      <c r="H7" t="s">
        <v>122</v>
      </c>
      <c r="I7" t="s">
        <v>123</v>
      </c>
      <c r="J7" t="s">
        <v>151</v>
      </c>
      <c r="K7" t="s">
        <v>152</v>
      </c>
      <c r="L7" t="s">
        <v>164</v>
      </c>
      <c r="M7" t="s">
        <v>167</v>
      </c>
      <c r="N7" t="s">
        <v>168</v>
      </c>
      <c r="O7" t="b">
        <v>1</v>
      </c>
      <c r="P7" t="s">
        <v>169</v>
      </c>
      <c r="Q7" t="s">
        <v>170</v>
      </c>
    </row>
    <row r="8" spans="1:17" x14ac:dyDescent="0.25">
      <c r="A8">
        <v>7</v>
      </c>
      <c r="B8" t="s">
        <v>171</v>
      </c>
      <c r="D8" t="s">
        <v>172</v>
      </c>
      <c r="E8" t="s">
        <v>173</v>
      </c>
      <c r="F8" t="s">
        <v>174</v>
      </c>
      <c r="G8" t="s">
        <v>175</v>
      </c>
      <c r="H8" t="s">
        <v>176</v>
      </c>
      <c r="I8" t="s">
        <v>177</v>
      </c>
      <c r="J8" t="s">
        <v>178</v>
      </c>
      <c r="K8" t="s">
        <v>125</v>
      </c>
      <c r="L8" t="s">
        <v>171</v>
      </c>
      <c r="N8" t="s">
        <v>179</v>
      </c>
      <c r="O8" t="b">
        <v>0</v>
      </c>
      <c r="P8" t="s">
        <v>180</v>
      </c>
      <c r="Q8" t="s">
        <v>181</v>
      </c>
    </row>
    <row r="9" spans="1:17" x14ac:dyDescent="0.25">
      <c r="A9">
        <v>8</v>
      </c>
      <c r="B9" t="s">
        <v>182</v>
      </c>
      <c r="D9" t="s">
        <v>183</v>
      </c>
      <c r="E9" t="s">
        <v>184</v>
      </c>
      <c r="F9" t="s">
        <v>185</v>
      </c>
      <c r="G9" t="s">
        <v>186</v>
      </c>
      <c r="H9" t="s">
        <v>122</v>
      </c>
      <c r="I9" t="s">
        <v>123</v>
      </c>
      <c r="J9" t="s">
        <v>187</v>
      </c>
      <c r="K9" t="s">
        <v>125</v>
      </c>
      <c r="L9" t="s">
        <v>182</v>
      </c>
      <c r="M9" t="s">
        <v>135</v>
      </c>
      <c r="N9" t="s">
        <v>188</v>
      </c>
      <c r="O9" t="b">
        <v>1</v>
      </c>
      <c r="P9" t="s">
        <v>189</v>
      </c>
      <c r="Q9" t="s">
        <v>190</v>
      </c>
    </row>
    <row r="10" spans="1:17" x14ac:dyDescent="0.25">
      <c r="A10">
        <v>9</v>
      </c>
      <c r="B10" t="s">
        <v>191</v>
      </c>
      <c r="D10" t="s">
        <v>15</v>
      </c>
      <c r="E10" t="s">
        <v>192</v>
      </c>
      <c r="F10" t="s">
        <v>193</v>
      </c>
      <c r="G10" t="s">
        <v>16</v>
      </c>
      <c r="H10" t="s">
        <v>122</v>
      </c>
      <c r="I10" t="s">
        <v>123</v>
      </c>
      <c r="J10" t="s">
        <v>194</v>
      </c>
      <c r="K10" t="s">
        <v>152</v>
      </c>
      <c r="L10" t="s">
        <v>191</v>
      </c>
      <c r="M10" t="s">
        <v>167</v>
      </c>
      <c r="N10" t="s">
        <v>195</v>
      </c>
      <c r="O10" t="b">
        <v>1</v>
      </c>
      <c r="P10" t="s">
        <v>196</v>
      </c>
      <c r="Q10" t="s">
        <v>197</v>
      </c>
    </row>
    <row r="11" spans="1:17" x14ac:dyDescent="0.25">
      <c r="A11">
        <v>10</v>
      </c>
      <c r="B11" t="s">
        <v>100</v>
      </c>
      <c r="D11" t="s">
        <v>198</v>
      </c>
      <c r="E11" t="s">
        <v>199</v>
      </c>
      <c r="F11" t="s">
        <v>200</v>
      </c>
      <c r="G11" t="s">
        <v>28</v>
      </c>
      <c r="H11" t="s">
        <v>122</v>
      </c>
      <c r="I11" t="s">
        <v>123</v>
      </c>
      <c r="J11" t="s">
        <v>201</v>
      </c>
      <c r="K11" t="s">
        <v>125</v>
      </c>
      <c r="L11" t="s">
        <v>202</v>
      </c>
      <c r="M11" t="s">
        <v>203</v>
      </c>
      <c r="N11" t="s">
        <v>204</v>
      </c>
      <c r="O11" t="b">
        <v>1</v>
      </c>
      <c r="P11" t="s">
        <v>205</v>
      </c>
      <c r="Q11" t="s">
        <v>206</v>
      </c>
    </row>
    <row r="12" spans="1:17" x14ac:dyDescent="0.25">
      <c r="A12">
        <v>11</v>
      </c>
      <c r="B12" t="s">
        <v>207</v>
      </c>
      <c r="D12" t="s">
        <v>6</v>
      </c>
      <c r="E12" t="s">
        <v>208</v>
      </c>
      <c r="F12" t="s">
        <v>209</v>
      </c>
      <c r="G12" t="s">
        <v>7</v>
      </c>
      <c r="H12" t="s">
        <v>122</v>
      </c>
      <c r="I12" t="s">
        <v>123</v>
      </c>
      <c r="J12" t="s">
        <v>210</v>
      </c>
      <c r="K12" t="s">
        <v>152</v>
      </c>
      <c r="L12" t="s">
        <v>211</v>
      </c>
      <c r="N12" t="s">
        <v>212</v>
      </c>
      <c r="O12" t="b">
        <v>1</v>
      </c>
      <c r="P12" t="s">
        <v>213</v>
      </c>
      <c r="Q12" t="s">
        <v>214</v>
      </c>
    </row>
    <row r="13" spans="1:17" x14ac:dyDescent="0.25">
      <c r="A13">
        <v>12</v>
      </c>
      <c r="B13" t="s">
        <v>215</v>
      </c>
      <c r="D13" t="s">
        <v>33</v>
      </c>
      <c r="E13" t="s">
        <v>216</v>
      </c>
      <c r="F13" t="s">
        <v>217</v>
      </c>
      <c r="G13" t="s">
        <v>34</v>
      </c>
      <c r="H13" t="s">
        <v>122</v>
      </c>
      <c r="I13" t="s">
        <v>123</v>
      </c>
      <c r="J13" t="s">
        <v>218</v>
      </c>
      <c r="K13" t="s">
        <v>219</v>
      </c>
      <c r="L13" t="s">
        <v>215</v>
      </c>
      <c r="M13" t="s">
        <v>220</v>
      </c>
      <c r="N13" t="s">
        <v>221</v>
      </c>
      <c r="O13" t="s">
        <v>222</v>
      </c>
      <c r="P13" t="s">
        <v>223</v>
      </c>
      <c r="Q13" t="s">
        <v>224</v>
      </c>
    </row>
    <row r="14" spans="1:17" x14ac:dyDescent="0.25">
      <c r="A14">
        <v>13</v>
      </c>
      <c r="B14" t="s">
        <v>93</v>
      </c>
      <c r="D14" t="s">
        <v>67</v>
      </c>
      <c r="E14" t="s">
        <v>225</v>
      </c>
      <c r="F14" t="s">
        <v>226</v>
      </c>
      <c r="G14" t="s">
        <v>55</v>
      </c>
      <c r="H14" t="s">
        <v>122</v>
      </c>
      <c r="I14" t="s">
        <v>123</v>
      </c>
      <c r="J14" t="s">
        <v>227</v>
      </c>
      <c r="K14" t="s">
        <v>152</v>
      </c>
      <c r="L14" t="s">
        <v>93</v>
      </c>
      <c r="M14" t="s">
        <v>228</v>
      </c>
      <c r="N14" t="s">
        <v>229</v>
      </c>
      <c r="O14" t="b">
        <v>1</v>
      </c>
      <c r="P14" t="s">
        <v>230</v>
      </c>
      <c r="Q14" t="s">
        <v>231</v>
      </c>
    </row>
    <row r="15" spans="1:17" x14ac:dyDescent="0.25">
      <c r="A15">
        <v>14</v>
      </c>
      <c r="B15" t="s">
        <v>111</v>
      </c>
      <c r="D15" t="s">
        <v>75</v>
      </c>
      <c r="E15" t="s">
        <v>232</v>
      </c>
      <c r="F15" t="s">
        <v>233</v>
      </c>
      <c r="G15" t="s">
        <v>62</v>
      </c>
      <c r="H15" t="s">
        <v>122</v>
      </c>
      <c r="I15" t="s">
        <v>123</v>
      </c>
      <c r="J15" t="s">
        <v>227</v>
      </c>
      <c r="K15" t="s">
        <v>125</v>
      </c>
      <c r="L15" t="s">
        <v>111</v>
      </c>
      <c r="M15" t="s">
        <v>126</v>
      </c>
      <c r="N15" t="s">
        <v>234</v>
      </c>
      <c r="O15" t="b">
        <v>1</v>
      </c>
      <c r="P15" t="s">
        <v>235</v>
      </c>
      <c r="Q15" t="s">
        <v>236</v>
      </c>
    </row>
    <row r="16" spans="1:17" x14ac:dyDescent="0.25">
      <c r="A16">
        <v>15</v>
      </c>
      <c r="B16" t="s">
        <v>106</v>
      </c>
      <c r="D16" t="s">
        <v>74</v>
      </c>
      <c r="E16" t="s">
        <v>237</v>
      </c>
      <c r="F16" t="s">
        <v>238</v>
      </c>
      <c r="G16" t="s">
        <v>61</v>
      </c>
      <c r="H16" t="s">
        <v>122</v>
      </c>
      <c r="I16" t="s">
        <v>123</v>
      </c>
      <c r="J16" t="s">
        <v>227</v>
      </c>
      <c r="K16" t="s">
        <v>152</v>
      </c>
      <c r="L16" t="s">
        <v>106</v>
      </c>
      <c r="M16" t="s">
        <v>239</v>
      </c>
      <c r="N16" t="s">
        <v>240</v>
      </c>
      <c r="O16" t="b">
        <v>1</v>
      </c>
      <c r="P16" t="s">
        <v>241</v>
      </c>
      <c r="Q16" t="s">
        <v>242</v>
      </c>
    </row>
    <row r="17" spans="1:17" x14ac:dyDescent="0.25">
      <c r="A17">
        <v>16</v>
      </c>
      <c r="B17" t="s">
        <v>243</v>
      </c>
      <c r="D17" t="s">
        <v>71</v>
      </c>
      <c r="E17" t="s">
        <v>244</v>
      </c>
      <c r="F17" t="s">
        <v>245</v>
      </c>
      <c r="G17" t="s">
        <v>57</v>
      </c>
      <c r="H17" t="s">
        <v>122</v>
      </c>
      <c r="I17" t="s">
        <v>123</v>
      </c>
      <c r="J17" t="s">
        <v>144</v>
      </c>
      <c r="K17" t="s">
        <v>152</v>
      </c>
      <c r="L17" t="s">
        <v>243</v>
      </c>
      <c r="M17" t="s">
        <v>246</v>
      </c>
      <c r="N17" t="s">
        <v>247</v>
      </c>
      <c r="O17" t="b">
        <v>1</v>
      </c>
      <c r="P17" t="s">
        <v>248</v>
      </c>
      <c r="Q17" t="s">
        <v>249</v>
      </c>
    </row>
    <row r="18" spans="1:17" x14ac:dyDescent="0.25">
      <c r="A18">
        <v>17</v>
      </c>
      <c r="B18" t="s">
        <v>116</v>
      </c>
      <c r="D18" t="s">
        <v>76</v>
      </c>
      <c r="E18" t="s">
        <v>250</v>
      </c>
      <c r="F18" t="s">
        <v>251</v>
      </c>
      <c r="G18" t="s">
        <v>63</v>
      </c>
      <c r="H18" t="s">
        <v>122</v>
      </c>
      <c r="I18" t="s">
        <v>123</v>
      </c>
      <c r="J18" t="s">
        <v>218</v>
      </c>
      <c r="K18" t="s">
        <v>152</v>
      </c>
      <c r="L18" t="s">
        <v>116</v>
      </c>
      <c r="M18" t="s">
        <v>167</v>
      </c>
      <c r="N18" t="s">
        <v>252</v>
      </c>
      <c r="O18" t="b">
        <v>1</v>
      </c>
      <c r="P18" t="s">
        <v>253</v>
      </c>
      <c r="Q18" t="s">
        <v>254</v>
      </c>
    </row>
    <row r="19" spans="1:17" x14ac:dyDescent="0.25">
      <c r="A19">
        <v>18</v>
      </c>
      <c r="B19" t="s">
        <v>255</v>
      </c>
      <c r="D19" t="s">
        <v>256</v>
      </c>
      <c r="E19" t="s">
        <v>257</v>
      </c>
      <c r="F19" t="s">
        <v>258</v>
      </c>
      <c r="G19" t="s">
        <v>259</v>
      </c>
      <c r="H19" t="s">
        <v>122</v>
      </c>
      <c r="I19" t="s">
        <v>123</v>
      </c>
      <c r="J19" t="s">
        <v>218</v>
      </c>
      <c r="K19" t="s">
        <v>152</v>
      </c>
      <c r="L19" t="s">
        <v>255</v>
      </c>
      <c r="M19" t="s">
        <v>228</v>
      </c>
      <c r="N19" t="s">
        <v>260</v>
      </c>
      <c r="O19" t="b">
        <v>1</v>
      </c>
      <c r="P19" t="s">
        <v>261</v>
      </c>
      <c r="Q19" t="s">
        <v>262</v>
      </c>
    </row>
    <row r="20" spans="1:17" x14ac:dyDescent="0.25">
      <c r="A20">
        <v>20</v>
      </c>
      <c r="B20" t="s">
        <v>271</v>
      </c>
      <c r="D20" t="s">
        <v>17</v>
      </c>
      <c r="E20" t="s">
        <v>272</v>
      </c>
      <c r="F20" t="s">
        <v>273</v>
      </c>
      <c r="G20" t="s">
        <v>18</v>
      </c>
      <c r="H20" t="s">
        <v>122</v>
      </c>
      <c r="I20" t="s">
        <v>123</v>
      </c>
      <c r="J20" t="s">
        <v>218</v>
      </c>
      <c r="K20" t="s">
        <v>152</v>
      </c>
      <c r="L20" t="s">
        <v>271</v>
      </c>
      <c r="M20" t="s">
        <v>274</v>
      </c>
      <c r="N20" t="s">
        <v>275</v>
      </c>
      <c r="O20" t="b">
        <v>1</v>
      </c>
      <c r="P20" t="s">
        <v>276</v>
      </c>
      <c r="Q20" t="s">
        <v>277</v>
      </c>
    </row>
    <row r="21" spans="1:17" x14ac:dyDescent="0.25">
      <c r="A21">
        <v>21</v>
      </c>
      <c r="B21" t="s">
        <v>278</v>
      </c>
      <c r="D21" t="s">
        <v>42</v>
      </c>
      <c r="E21" t="s">
        <v>279</v>
      </c>
      <c r="F21" t="s">
        <v>280</v>
      </c>
      <c r="G21" t="s">
        <v>43</v>
      </c>
      <c r="H21" t="s">
        <v>122</v>
      </c>
      <c r="I21" t="s">
        <v>123</v>
      </c>
      <c r="J21" t="s">
        <v>218</v>
      </c>
      <c r="K21" t="s">
        <v>152</v>
      </c>
      <c r="L21" t="s">
        <v>278</v>
      </c>
      <c r="M21" t="s">
        <v>228</v>
      </c>
      <c r="N21" t="s">
        <v>281</v>
      </c>
      <c r="O21" t="b">
        <v>1</v>
      </c>
      <c r="P21" t="s">
        <v>282</v>
      </c>
      <c r="Q21" t="s">
        <v>283</v>
      </c>
    </row>
    <row r="22" spans="1:17" x14ac:dyDescent="0.25">
      <c r="A22">
        <v>22</v>
      </c>
      <c r="B22" t="s">
        <v>81</v>
      </c>
      <c r="D22" t="s">
        <v>3</v>
      </c>
      <c r="E22" t="s">
        <v>285</v>
      </c>
      <c r="F22" t="s">
        <v>286</v>
      </c>
      <c r="G22" t="s">
        <v>4</v>
      </c>
      <c r="H22" t="s">
        <v>122</v>
      </c>
      <c r="I22" t="s">
        <v>123</v>
      </c>
      <c r="J22" t="s">
        <v>218</v>
      </c>
      <c r="K22" t="s">
        <v>152</v>
      </c>
      <c r="L22" t="s">
        <v>284</v>
      </c>
      <c r="M22" t="s">
        <v>274</v>
      </c>
      <c r="N22" t="s">
        <v>287</v>
      </c>
      <c r="O22" t="b">
        <v>1</v>
      </c>
      <c r="P22" t="s">
        <v>288</v>
      </c>
      <c r="Q22" t="s">
        <v>289</v>
      </c>
    </row>
    <row r="23" spans="1:17" x14ac:dyDescent="0.25">
      <c r="A23">
        <v>23</v>
      </c>
      <c r="B23" t="s">
        <v>290</v>
      </c>
      <c r="D23" t="s">
        <v>8</v>
      </c>
      <c r="E23" t="s">
        <v>291</v>
      </c>
      <c r="F23" t="s">
        <v>292</v>
      </c>
      <c r="G23" t="s">
        <v>9</v>
      </c>
      <c r="H23" t="s">
        <v>122</v>
      </c>
      <c r="I23" t="s">
        <v>123</v>
      </c>
      <c r="J23" t="s">
        <v>218</v>
      </c>
      <c r="K23" t="s">
        <v>152</v>
      </c>
      <c r="L23" t="s">
        <v>290</v>
      </c>
      <c r="M23" t="s">
        <v>274</v>
      </c>
      <c r="N23" t="s">
        <v>293</v>
      </c>
      <c r="O23" t="b">
        <v>1</v>
      </c>
      <c r="P23" t="s">
        <v>294</v>
      </c>
      <c r="Q23" t="s">
        <v>295</v>
      </c>
    </row>
    <row r="24" spans="1:17" x14ac:dyDescent="0.25">
      <c r="A24">
        <v>24</v>
      </c>
      <c r="B24" t="s">
        <v>296</v>
      </c>
      <c r="D24" t="s">
        <v>0</v>
      </c>
      <c r="E24" t="s">
        <v>297</v>
      </c>
      <c r="F24" t="s">
        <v>298</v>
      </c>
      <c r="G24" t="s">
        <v>1</v>
      </c>
      <c r="H24" t="s">
        <v>122</v>
      </c>
      <c r="I24" t="s">
        <v>123</v>
      </c>
      <c r="J24" t="s">
        <v>218</v>
      </c>
      <c r="K24" t="s">
        <v>152</v>
      </c>
      <c r="L24" t="s">
        <v>296</v>
      </c>
      <c r="M24" t="s">
        <v>274</v>
      </c>
      <c r="N24" t="s">
        <v>299</v>
      </c>
      <c r="O24" t="b">
        <v>1</v>
      </c>
      <c r="P24" t="s">
        <v>300</v>
      </c>
      <c r="Q24" s="1" t="s">
        <v>301</v>
      </c>
    </row>
    <row r="25" spans="1:17" x14ac:dyDescent="0.25">
      <c r="A25">
        <v>27</v>
      </c>
      <c r="B25" t="s">
        <v>94</v>
      </c>
      <c r="D25" t="s">
        <v>68</v>
      </c>
      <c r="E25" t="s">
        <v>316</v>
      </c>
      <c r="F25" t="s">
        <v>317</v>
      </c>
      <c r="G25" t="s">
        <v>56</v>
      </c>
      <c r="H25" t="s">
        <v>122</v>
      </c>
      <c r="I25" t="s">
        <v>123</v>
      </c>
      <c r="J25" t="s">
        <v>218</v>
      </c>
      <c r="K25" t="s">
        <v>125</v>
      </c>
      <c r="L25" t="s">
        <v>94</v>
      </c>
      <c r="M25" t="s">
        <v>126</v>
      </c>
      <c r="N25" t="s">
        <v>318</v>
      </c>
      <c r="O25" t="b">
        <v>1</v>
      </c>
      <c r="P25" t="s">
        <v>319</v>
      </c>
      <c r="Q25" t="s">
        <v>320</v>
      </c>
    </row>
    <row r="26" spans="1:17" x14ac:dyDescent="0.25">
      <c r="A26">
        <v>28</v>
      </c>
      <c r="B26" t="s">
        <v>99</v>
      </c>
      <c r="D26" t="s">
        <v>72</v>
      </c>
      <c r="E26" t="s">
        <v>321</v>
      </c>
      <c r="F26" t="s">
        <v>322</v>
      </c>
      <c r="G26" t="s">
        <v>59</v>
      </c>
      <c r="H26" t="s">
        <v>122</v>
      </c>
      <c r="I26" t="s">
        <v>123</v>
      </c>
      <c r="J26" t="s">
        <v>218</v>
      </c>
      <c r="K26" t="s">
        <v>125</v>
      </c>
      <c r="L26" t="s">
        <v>99</v>
      </c>
      <c r="M26" t="s">
        <v>135</v>
      </c>
      <c r="N26" t="s">
        <v>323</v>
      </c>
      <c r="O26" t="b">
        <v>1</v>
      </c>
      <c r="P26" t="s">
        <v>324</v>
      </c>
      <c r="Q26" t="s">
        <v>320</v>
      </c>
    </row>
    <row r="27" spans="1:17" x14ac:dyDescent="0.25">
      <c r="A27">
        <v>30</v>
      </c>
      <c r="B27" t="s">
        <v>333</v>
      </c>
      <c r="D27" t="s">
        <v>334</v>
      </c>
      <c r="E27" t="s">
        <v>335</v>
      </c>
      <c r="F27" t="s">
        <v>336</v>
      </c>
      <c r="G27" t="s">
        <v>337</v>
      </c>
      <c r="H27" t="s">
        <v>122</v>
      </c>
      <c r="I27" t="s">
        <v>123</v>
      </c>
      <c r="J27" t="s">
        <v>338</v>
      </c>
      <c r="K27" t="s">
        <v>125</v>
      </c>
      <c r="L27" t="s">
        <v>339</v>
      </c>
      <c r="M27" t="s">
        <v>203</v>
      </c>
      <c r="N27" t="s">
        <v>340</v>
      </c>
      <c r="O27" t="b">
        <v>1</v>
      </c>
      <c r="P27" t="s">
        <v>341</v>
      </c>
      <c r="Q27" t="s">
        <v>342</v>
      </c>
    </row>
    <row r="28" spans="1:17" x14ac:dyDescent="0.25">
      <c r="A28">
        <v>31</v>
      </c>
      <c r="B28" t="s">
        <v>343</v>
      </c>
      <c r="D28" t="s">
        <v>344</v>
      </c>
      <c r="E28" t="s">
        <v>345</v>
      </c>
      <c r="F28" t="s">
        <v>346</v>
      </c>
      <c r="G28" t="s">
        <v>347</v>
      </c>
      <c r="H28" t="s">
        <v>348</v>
      </c>
      <c r="I28" t="s">
        <v>348</v>
      </c>
      <c r="J28" t="s">
        <v>349</v>
      </c>
      <c r="K28" t="s">
        <v>125</v>
      </c>
      <c r="L28" t="s">
        <v>343</v>
      </c>
      <c r="N28" t="s">
        <v>350</v>
      </c>
      <c r="O28" t="b">
        <v>1</v>
      </c>
      <c r="P28" t="s">
        <v>351</v>
      </c>
      <c r="Q28" t="s">
        <v>352</v>
      </c>
    </row>
    <row r="29" spans="1:17" x14ac:dyDescent="0.25">
      <c r="A29">
        <v>32</v>
      </c>
      <c r="B29" t="s">
        <v>353</v>
      </c>
      <c r="D29" t="s">
        <v>354</v>
      </c>
      <c r="E29" t="s">
        <v>355</v>
      </c>
      <c r="F29" t="s">
        <v>356</v>
      </c>
      <c r="G29" t="s">
        <v>357</v>
      </c>
      <c r="H29" t="s">
        <v>122</v>
      </c>
      <c r="I29" t="s">
        <v>123</v>
      </c>
      <c r="J29" t="s">
        <v>144</v>
      </c>
      <c r="K29" t="s">
        <v>125</v>
      </c>
      <c r="L29" t="s">
        <v>353</v>
      </c>
      <c r="M29" t="s">
        <v>358</v>
      </c>
      <c r="N29" t="s">
        <v>359</v>
      </c>
      <c r="O29" t="b">
        <v>1</v>
      </c>
      <c r="P29" t="s">
        <v>360</v>
      </c>
      <c r="Q29" s="1" t="s">
        <v>361</v>
      </c>
    </row>
    <row r="30" spans="1:17" x14ac:dyDescent="0.25">
      <c r="A30">
        <v>35</v>
      </c>
      <c r="B30" t="s">
        <v>375</v>
      </c>
      <c r="D30" t="s">
        <v>376</v>
      </c>
      <c r="E30" t="s">
        <v>377</v>
      </c>
      <c r="F30" t="s">
        <v>378</v>
      </c>
      <c r="G30" t="s">
        <v>11</v>
      </c>
      <c r="H30" t="s">
        <v>122</v>
      </c>
      <c r="I30" t="s">
        <v>123</v>
      </c>
      <c r="J30" t="s">
        <v>144</v>
      </c>
      <c r="K30" t="s">
        <v>152</v>
      </c>
      <c r="L30" t="s">
        <v>379</v>
      </c>
      <c r="M30" t="s">
        <v>228</v>
      </c>
      <c r="N30" t="s">
        <v>380</v>
      </c>
      <c r="O30" t="b">
        <v>1</v>
      </c>
      <c r="P30" t="s">
        <v>381</v>
      </c>
      <c r="Q30" t="s">
        <v>382</v>
      </c>
    </row>
    <row r="31" spans="1:17" x14ac:dyDescent="0.25">
      <c r="A31">
        <v>36</v>
      </c>
      <c r="B31" t="s">
        <v>383</v>
      </c>
      <c r="D31" t="s">
        <v>384</v>
      </c>
      <c r="E31" t="s">
        <v>385</v>
      </c>
      <c r="F31" t="s">
        <v>386</v>
      </c>
      <c r="G31" t="s">
        <v>387</v>
      </c>
      <c r="H31" t="s">
        <v>122</v>
      </c>
      <c r="I31" t="s">
        <v>123</v>
      </c>
      <c r="J31" t="s">
        <v>218</v>
      </c>
      <c r="K31" t="s">
        <v>152</v>
      </c>
      <c r="L31" t="s">
        <v>383</v>
      </c>
      <c r="M31" t="s">
        <v>154</v>
      </c>
      <c r="N31" t="s">
        <v>388</v>
      </c>
      <c r="O31" t="b">
        <v>1</v>
      </c>
      <c r="P31" t="s">
        <v>389</v>
      </c>
      <c r="Q31" t="s">
        <v>390</v>
      </c>
    </row>
    <row r="32" spans="1:17" x14ac:dyDescent="0.25">
      <c r="A32">
        <v>38</v>
      </c>
      <c r="B32" t="s">
        <v>395</v>
      </c>
      <c r="D32" t="s">
        <v>396</v>
      </c>
      <c r="E32" t="s">
        <v>397</v>
      </c>
      <c r="F32" t="s">
        <v>398</v>
      </c>
      <c r="G32" t="s">
        <v>399</v>
      </c>
      <c r="H32" t="s">
        <v>122</v>
      </c>
      <c r="I32" t="s">
        <v>123</v>
      </c>
      <c r="J32" t="s">
        <v>201</v>
      </c>
      <c r="K32" t="s">
        <v>152</v>
      </c>
      <c r="L32" t="s">
        <v>395</v>
      </c>
      <c r="N32" t="s">
        <v>400</v>
      </c>
      <c r="O32" t="s">
        <v>401</v>
      </c>
      <c r="P32" t="s">
        <v>402</v>
      </c>
      <c r="Q32" t="s">
        <v>403</v>
      </c>
    </row>
    <row r="33" spans="1:17" x14ac:dyDescent="0.25">
      <c r="A33">
        <v>39</v>
      </c>
      <c r="B33" t="s">
        <v>83</v>
      </c>
      <c r="D33" t="s">
        <v>49</v>
      </c>
      <c r="E33" t="s">
        <v>404</v>
      </c>
      <c r="F33" t="s">
        <v>405</v>
      </c>
      <c r="G33" t="s">
        <v>51</v>
      </c>
      <c r="H33" t="s">
        <v>122</v>
      </c>
      <c r="I33" t="s">
        <v>123</v>
      </c>
      <c r="J33" t="s">
        <v>201</v>
      </c>
      <c r="K33" t="s">
        <v>152</v>
      </c>
      <c r="L33" t="s">
        <v>83</v>
      </c>
      <c r="M33" t="s">
        <v>167</v>
      </c>
      <c r="N33" t="s">
        <v>406</v>
      </c>
      <c r="O33" t="b">
        <v>1</v>
      </c>
      <c r="P33" t="s">
        <v>407</v>
      </c>
      <c r="Q33" t="s">
        <v>408</v>
      </c>
    </row>
    <row r="34" spans="1:17" x14ac:dyDescent="0.25">
      <c r="A34">
        <v>40</v>
      </c>
      <c r="B34" t="s">
        <v>82</v>
      </c>
      <c r="D34" t="s">
        <v>409</v>
      </c>
      <c r="E34" t="s">
        <v>410</v>
      </c>
      <c r="F34" t="s">
        <v>411</v>
      </c>
      <c r="G34" t="s">
        <v>41</v>
      </c>
      <c r="H34" t="s">
        <v>122</v>
      </c>
      <c r="I34" t="s">
        <v>123</v>
      </c>
      <c r="J34" t="s">
        <v>144</v>
      </c>
      <c r="K34" t="s">
        <v>125</v>
      </c>
      <c r="L34" t="s">
        <v>412</v>
      </c>
      <c r="M34" t="s">
        <v>358</v>
      </c>
      <c r="N34" t="s">
        <v>413</v>
      </c>
      <c r="O34" t="b">
        <v>1</v>
      </c>
      <c r="P34" t="s">
        <v>414</v>
      </c>
      <c r="Q34" t="s">
        <v>415</v>
      </c>
    </row>
    <row r="35" spans="1:17" x14ac:dyDescent="0.25">
      <c r="A35">
        <v>41</v>
      </c>
      <c r="B35" t="s">
        <v>416</v>
      </c>
      <c r="D35" t="s">
        <v>417</v>
      </c>
      <c r="E35" t="s">
        <v>418</v>
      </c>
      <c r="F35" t="s">
        <v>419</v>
      </c>
      <c r="G35" t="s">
        <v>420</v>
      </c>
      <c r="H35" t="s">
        <v>122</v>
      </c>
      <c r="I35" t="s">
        <v>123</v>
      </c>
      <c r="J35" t="s">
        <v>201</v>
      </c>
      <c r="K35" t="s">
        <v>152</v>
      </c>
      <c r="L35" t="s">
        <v>421</v>
      </c>
      <c r="M35" t="s">
        <v>246</v>
      </c>
      <c r="N35" t="s">
        <v>422</v>
      </c>
      <c r="O35" t="b">
        <v>1</v>
      </c>
      <c r="P35" t="s">
        <v>423</v>
      </c>
      <c r="Q35" t="s">
        <v>424</v>
      </c>
    </row>
    <row r="36" spans="1:17" x14ac:dyDescent="0.25">
      <c r="A36">
        <v>42</v>
      </c>
      <c r="B36" t="s">
        <v>778</v>
      </c>
      <c r="D36" t="s">
        <v>73</v>
      </c>
      <c r="E36" t="s">
        <v>426</v>
      </c>
      <c r="F36" t="s">
        <v>427</v>
      </c>
      <c r="G36" t="s">
        <v>60</v>
      </c>
      <c r="H36" t="s">
        <v>122</v>
      </c>
      <c r="I36" t="s">
        <v>123</v>
      </c>
      <c r="J36" t="s">
        <v>144</v>
      </c>
      <c r="K36" t="s">
        <v>152</v>
      </c>
      <c r="L36" t="s">
        <v>428</v>
      </c>
      <c r="N36" t="s">
        <v>429</v>
      </c>
      <c r="O36" t="b">
        <v>1</v>
      </c>
      <c r="P36" t="s">
        <v>430</v>
      </c>
      <c r="Q36" t="s">
        <v>431</v>
      </c>
    </row>
    <row r="37" spans="1:17" x14ac:dyDescent="0.25">
      <c r="A37">
        <v>45</v>
      </c>
      <c r="B37" t="s">
        <v>445</v>
      </c>
      <c r="D37" t="s">
        <v>446</v>
      </c>
      <c r="E37" t="s">
        <v>447</v>
      </c>
      <c r="F37" t="s">
        <v>448</v>
      </c>
      <c r="G37" t="s">
        <v>449</v>
      </c>
      <c r="H37" t="s">
        <v>450</v>
      </c>
      <c r="I37" t="s">
        <v>450</v>
      </c>
      <c r="J37" t="s">
        <v>451</v>
      </c>
      <c r="K37" t="s">
        <v>152</v>
      </c>
      <c r="L37" t="s">
        <v>445</v>
      </c>
      <c r="N37" t="s">
        <v>452</v>
      </c>
      <c r="O37" t="b">
        <v>1</v>
      </c>
      <c r="P37" t="s">
        <v>453</v>
      </c>
      <c r="Q37" t="s">
        <v>454</v>
      </c>
    </row>
    <row r="38" spans="1:17" x14ac:dyDescent="0.25">
      <c r="A38">
        <v>46</v>
      </c>
      <c r="B38" t="s">
        <v>455</v>
      </c>
      <c r="D38" t="s">
        <v>456</v>
      </c>
      <c r="E38" t="s">
        <v>457</v>
      </c>
      <c r="F38" t="s">
        <v>458</v>
      </c>
      <c r="G38" t="s">
        <v>459</v>
      </c>
      <c r="H38" t="s">
        <v>176</v>
      </c>
      <c r="I38" t="s">
        <v>367</v>
      </c>
      <c r="J38" t="s">
        <v>338</v>
      </c>
      <c r="K38" t="s">
        <v>152</v>
      </c>
      <c r="L38" t="s">
        <v>455</v>
      </c>
      <c r="N38" t="s">
        <v>460</v>
      </c>
      <c r="O38" t="b">
        <v>1</v>
      </c>
      <c r="P38" t="s">
        <v>461</v>
      </c>
      <c r="Q38" t="s">
        <v>462</v>
      </c>
    </row>
    <row r="39" spans="1:17" x14ac:dyDescent="0.25">
      <c r="A39">
        <v>47</v>
      </c>
      <c r="B39" t="s">
        <v>463</v>
      </c>
      <c r="D39" t="s">
        <v>464</v>
      </c>
      <c r="E39" t="s">
        <v>465</v>
      </c>
      <c r="F39" t="s">
        <v>466</v>
      </c>
      <c r="G39" t="s">
        <v>467</v>
      </c>
      <c r="H39" t="s">
        <v>348</v>
      </c>
      <c r="I39" t="s">
        <v>348</v>
      </c>
      <c r="J39" t="s">
        <v>349</v>
      </c>
      <c r="K39" t="s">
        <v>152</v>
      </c>
      <c r="L39" t="s">
        <v>463</v>
      </c>
      <c r="N39" t="s">
        <v>468</v>
      </c>
      <c r="O39" t="b">
        <v>1</v>
      </c>
      <c r="P39" t="s">
        <v>469</v>
      </c>
      <c r="Q39" t="s">
        <v>470</v>
      </c>
    </row>
    <row r="40" spans="1:17" x14ac:dyDescent="0.25">
      <c r="A40">
        <v>48</v>
      </c>
      <c r="B40" t="s">
        <v>471</v>
      </c>
      <c r="D40" t="s">
        <v>472</v>
      </c>
      <c r="E40" t="s">
        <v>473</v>
      </c>
      <c r="F40" t="s">
        <v>474</v>
      </c>
      <c r="G40" t="s">
        <v>475</v>
      </c>
      <c r="H40" t="s">
        <v>348</v>
      </c>
      <c r="I40" t="s">
        <v>348</v>
      </c>
      <c r="J40" t="s">
        <v>349</v>
      </c>
      <c r="K40" t="s">
        <v>152</v>
      </c>
      <c r="L40" t="s">
        <v>471</v>
      </c>
      <c r="N40" t="s">
        <v>476</v>
      </c>
      <c r="O40" t="b">
        <v>1</v>
      </c>
      <c r="P40" t="s">
        <v>477</v>
      </c>
      <c r="Q40" t="s">
        <v>478</v>
      </c>
    </row>
    <row r="41" spans="1:17" x14ac:dyDescent="0.25">
      <c r="A41">
        <v>49</v>
      </c>
      <c r="B41" t="s">
        <v>479</v>
      </c>
      <c r="D41" t="s">
        <v>480</v>
      </c>
      <c r="E41" t="s">
        <v>481</v>
      </c>
      <c r="F41" t="s">
        <v>482</v>
      </c>
      <c r="G41" t="s">
        <v>483</v>
      </c>
      <c r="H41" t="s">
        <v>176</v>
      </c>
      <c r="I41" t="s">
        <v>484</v>
      </c>
      <c r="J41" t="s">
        <v>338</v>
      </c>
      <c r="K41" t="s">
        <v>152</v>
      </c>
      <c r="L41" t="s">
        <v>479</v>
      </c>
      <c r="N41" t="s">
        <v>350</v>
      </c>
      <c r="O41" t="b">
        <v>1</v>
      </c>
      <c r="P41" t="s">
        <v>485</v>
      </c>
      <c r="Q41" t="s">
        <v>486</v>
      </c>
    </row>
    <row r="42" spans="1:17" x14ac:dyDescent="0.25">
      <c r="A42">
        <v>50</v>
      </c>
      <c r="B42" t="s">
        <v>487</v>
      </c>
      <c r="D42" t="s">
        <v>488</v>
      </c>
      <c r="E42" t="s">
        <v>489</v>
      </c>
      <c r="F42" t="s">
        <v>490</v>
      </c>
      <c r="G42" t="s">
        <v>491</v>
      </c>
      <c r="H42" t="s">
        <v>176</v>
      </c>
      <c r="I42" t="s">
        <v>492</v>
      </c>
      <c r="J42" t="s">
        <v>765</v>
      </c>
      <c r="K42" t="s">
        <v>152</v>
      </c>
      <c r="L42" t="s">
        <v>487</v>
      </c>
      <c r="N42" t="s">
        <v>493</v>
      </c>
      <c r="O42" t="b">
        <v>1</v>
      </c>
      <c r="P42" t="s">
        <v>494</v>
      </c>
      <c r="Q42" t="s">
        <v>495</v>
      </c>
    </row>
    <row r="43" spans="1:17" x14ac:dyDescent="0.25">
      <c r="A43">
        <v>51</v>
      </c>
      <c r="B43" t="s">
        <v>496</v>
      </c>
      <c r="D43" t="s">
        <v>497</v>
      </c>
      <c r="E43" t="s">
        <v>498</v>
      </c>
      <c r="F43" t="s">
        <v>499</v>
      </c>
      <c r="G43" t="s">
        <v>500</v>
      </c>
      <c r="H43" t="s">
        <v>176</v>
      </c>
      <c r="I43" t="s">
        <v>484</v>
      </c>
      <c r="J43" t="s">
        <v>765</v>
      </c>
      <c r="K43" t="s">
        <v>152</v>
      </c>
      <c r="L43" t="s">
        <v>496</v>
      </c>
      <c r="N43" t="s">
        <v>501</v>
      </c>
      <c r="O43" t="b">
        <v>1</v>
      </c>
      <c r="P43" t="s">
        <v>502</v>
      </c>
      <c r="Q43" t="s">
        <v>503</v>
      </c>
    </row>
    <row r="44" spans="1:17" x14ac:dyDescent="0.25">
      <c r="A44">
        <v>52</v>
      </c>
      <c r="B44" t="s">
        <v>504</v>
      </c>
      <c r="D44" t="s">
        <v>505</v>
      </c>
      <c r="E44" t="s">
        <v>506</v>
      </c>
      <c r="F44" t="s">
        <v>507</v>
      </c>
      <c r="G44" t="s">
        <v>508</v>
      </c>
      <c r="H44" t="s">
        <v>176</v>
      </c>
      <c r="I44" t="s">
        <v>484</v>
      </c>
      <c r="J44" t="s">
        <v>338</v>
      </c>
      <c r="K44" t="s">
        <v>152</v>
      </c>
      <c r="L44" t="s">
        <v>504</v>
      </c>
      <c r="N44" t="s">
        <v>509</v>
      </c>
      <c r="O44" t="b">
        <v>1</v>
      </c>
      <c r="P44" t="s">
        <v>510</v>
      </c>
      <c r="Q44" t="s">
        <v>511</v>
      </c>
    </row>
    <row r="45" spans="1:17" x14ac:dyDescent="0.25">
      <c r="A45">
        <v>53</v>
      </c>
      <c r="B45" t="s">
        <v>512</v>
      </c>
      <c r="D45" t="s">
        <v>513</v>
      </c>
      <c r="E45" t="s">
        <v>514</v>
      </c>
      <c r="F45" t="s">
        <v>515</v>
      </c>
      <c r="G45" t="s">
        <v>516</v>
      </c>
      <c r="H45" t="s">
        <v>176</v>
      </c>
      <c r="I45" t="s">
        <v>484</v>
      </c>
      <c r="J45" t="s">
        <v>765</v>
      </c>
      <c r="K45" t="s">
        <v>152</v>
      </c>
      <c r="L45" t="s">
        <v>512</v>
      </c>
      <c r="N45" t="s">
        <v>517</v>
      </c>
      <c r="O45" t="b">
        <v>1</v>
      </c>
      <c r="P45" t="s">
        <v>518</v>
      </c>
      <c r="Q45" t="s">
        <v>519</v>
      </c>
    </row>
    <row r="46" spans="1:17" x14ac:dyDescent="0.25">
      <c r="A46">
        <v>54</v>
      </c>
      <c r="B46" t="s">
        <v>520</v>
      </c>
      <c r="D46" t="s">
        <v>521</v>
      </c>
      <c r="E46" t="s">
        <v>522</v>
      </c>
      <c r="F46" t="s">
        <v>523</v>
      </c>
      <c r="G46" t="s">
        <v>524</v>
      </c>
      <c r="H46" t="s">
        <v>176</v>
      </c>
      <c r="I46" t="s">
        <v>492</v>
      </c>
      <c r="J46" t="s">
        <v>338</v>
      </c>
      <c r="K46" t="s">
        <v>152</v>
      </c>
      <c r="L46" t="s">
        <v>520</v>
      </c>
      <c r="N46" t="s">
        <v>525</v>
      </c>
      <c r="O46" t="b">
        <v>1</v>
      </c>
      <c r="P46" t="s">
        <v>526</v>
      </c>
      <c r="Q46" t="s">
        <v>527</v>
      </c>
    </row>
    <row r="47" spans="1:17" x14ac:dyDescent="0.25">
      <c r="A47">
        <v>55</v>
      </c>
      <c r="B47" t="s">
        <v>112</v>
      </c>
      <c r="D47" t="s">
        <v>528</v>
      </c>
      <c r="E47" t="s">
        <v>529</v>
      </c>
      <c r="F47" t="s">
        <v>530</v>
      </c>
      <c r="G47" t="s">
        <v>44</v>
      </c>
      <c r="H47" t="s">
        <v>122</v>
      </c>
      <c r="I47" t="s">
        <v>123</v>
      </c>
      <c r="J47" t="s">
        <v>144</v>
      </c>
      <c r="K47" t="s">
        <v>152</v>
      </c>
      <c r="L47" t="s">
        <v>112</v>
      </c>
      <c r="N47" t="s">
        <v>531</v>
      </c>
      <c r="O47" t="b">
        <v>1</v>
      </c>
      <c r="P47" t="s">
        <v>532</v>
      </c>
      <c r="Q47" t="s">
        <v>533</v>
      </c>
    </row>
    <row r="48" spans="1:17" x14ac:dyDescent="0.25">
      <c r="A48">
        <v>56</v>
      </c>
      <c r="B48" t="s">
        <v>80</v>
      </c>
      <c r="D48" t="s">
        <v>48</v>
      </c>
      <c r="E48" t="s">
        <v>534</v>
      </c>
      <c r="F48" t="s">
        <v>535</v>
      </c>
      <c r="G48" t="s">
        <v>50</v>
      </c>
      <c r="H48" t="s">
        <v>122</v>
      </c>
      <c r="I48" t="s">
        <v>123</v>
      </c>
      <c r="J48" t="s">
        <v>766</v>
      </c>
      <c r="K48" t="s">
        <v>152</v>
      </c>
      <c r="L48" t="s">
        <v>80</v>
      </c>
      <c r="N48" t="s">
        <v>536</v>
      </c>
      <c r="O48" t="b">
        <v>1</v>
      </c>
      <c r="P48" t="s">
        <v>537</v>
      </c>
      <c r="Q48" t="s">
        <v>538</v>
      </c>
    </row>
    <row r="49" spans="1:17" x14ac:dyDescent="0.25">
      <c r="A49">
        <v>57</v>
      </c>
      <c r="B49" t="s">
        <v>539</v>
      </c>
      <c r="D49" t="s">
        <v>540</v>
      </c>
      <c r="E49" t="s">
        <v>541</v>
      </c>
      <c r="F49" t="s">
        <v>542</v>
      </c>
      <c r="G49" t="s">
        <v>5</v>
      </c>
      <c r="H49" t="s">
        <v>122</v>
      </c>
      <c r="I49" t="s">
        <v>123</v>
      </c>
      <c r="J49" t="s">
        <v>144</v>
      </c>
      <c r="K49" t="s">
        <v>152</v>
      </c>
      <c r="L49" t="s">
        <v>543</v>
      </c>
      <c r="N49" t="s">
        <v>544</v>
      </c>
      <c r="O49" t="b">
        <v>1</v>
      </c>
      <c r="P49" t="s">
        <v>545</v>
      </c>
      <c r="Q49" t="s">
        <v>546</v>
      </c>
    </row>
    <row r="50" spans="1:17" x14ac:dyDescent="0.25">
      <c r="A50">
        <v>58</v>
      </c>
      <c r="B50" t="s">
        <v>547</v>
      </c>
      <c r="D50" t="s">
        <v>548</v>
      </c>
      <c r="E50" t="s">
        <v>549</v>
      </c>
      <c r="F50" t="s">
        <v>550</v>
      </c>
      <c r="G50" t="s">
        <v>10</v>
      </c>
      <c r="H50" t="s">
        <v>122</v>
      </c>
      <c r="I50" t="s">
        <v>123</v>
      </c>
      <c r="J50" t="s">
        <v>144</v>
      </c>
      <c r="K50" t="s">
        <v>152</v>
      </c>
      <c r="L50" t="s">
        <v>551</v>
      </c>
      <c r="N50" t="s">
        <v>552</v>
      </c>
      <c r="O50" t="b">
        <v>1</v>
      </c>
      <c r="P50" t="s">
        <v>553</v>
      </c>
      <c r="Q50" t="s">
        <v>554</v>
      </c>
    </row>
    <row r="51" spans="1:17" x14ac:dyDescent="0.25">
      <c r="A51" s="3" t="s">
        <v>555</v>
      </c>
      <c r="B51" t="s">
        <v>556</v>
      </c>
      <c r="D51" t="s">
        <v>557</v>
      </c>
      <c r="E51" t="s">
        <v>558</v>
      </c>
      <c r="F51" t="s">
        <v>559</v>
      </c>
      <c r="G51" t="s">
        <v>560</v>
      </c>
      <c r="H51" t="s">
        <v>176</v>
      </c>
      <c r="I51" t="s">
        <v>484</v>
      </c>
      <c r="J51" t="s">
        <v>767</v>
      </c>
      <c r="K51" t="s">
        <v>152</v>
      </c>
      <c r="L51" t="s">
        <v>556</v>
      </c>
      <c r="N51" t="s">
        <v>561</v>
      </c>
      <c r="O51" t="b">
        <v>1</v>
      </c>
      <c r="P51" t="s">
        <v>562</v>
      </c>
      <c r="Q51" t="s">
        <v>563</v>
      </c>
    </row>
    <row r="52" spans="1:17" x14ac:dyDescent="0.25">
      <c r="A52">
        <v>60</v>
      </c>
      <c r="B52" t="s">
        <v>87</v>
      </c>
      <c r="D52" t="s">
        <v>70</v>
      </c>
      <c r="E52" t="s">
        <v>564</v>
      </c>
      <c r="F52" t="s">
        <v>565</v>
      </c>
      <c r="G52" t="s">
        <v>53</v>
      </c>
      <c r="H52" t="s">
        <v>122</v>
      </c>
      <c r="I52" t="s">
        <v>123</v>
      </c>
      <c r="J52" t="s">
        <v>766</v>
      </c>
      <c r="K52" t="s">
        <v>152</v>
      </c>
      <c r="L52" t="s">
        <v>87</v>
      </c>
      <c r="N52" t="s">
        <v>566</v>
      </c>
      <c r="O52" t="b">
        <v>1</v>
      </c>
      <c r="P52" t="s">
        <v>567</v>
      </c>
      <c r="Q52" t="s">
        <v>568</v>
      </c>
    </row>
    <row r="53" spans="1:17" x14ac:dyDescent="0.25">
      <c r="A53">
        <v>61</v>
      </c>
      <c r="B53" t="s">
        <v>569</v>
      </c>
      <c r="D53" t="s">
        <v>570</v>
      </c>
      <c r="E53" t="s">
        <v>571</v>
      </c>
      <c r="F53" t="s">
        <v>572</v>
      </c>
      <c r="G53" t="s">
        <v>573</v>
      </c>
      <c r="H53" t="s">
        <v>176</v>
      </c>
      <c r="I53" t="s">
        <v>484</v>
      </c>
      <c r="J53" t="s">
        <v>765</v>
      </c>
      <c r="K53" t="s">
        <v>152</v>
      </c>
      <c r="L53" t="s">
        <v>569</v>
      </c>
      <c r="N53" t="s">
        <v>574</v>
      </c>
      <c r="O53" t="b">
        <v>1</v>
      </c>
      <c r="P53" t="s">
        <v>575</v>
      </c>
      <c r="Q53" t="s">
        <v>576</v>
      </c>
    </row>
    <row r="54" spans="1:17" x14ac:dyDescent="0.25">
      <c r="A54">
        <v>62</v>
      </c>
      <c r="B54" t="s">
        <v>577</v>
      </c>
      <c r="D54" t="s">
        <v>578</v>
      </c>
      <c r="E54" t="s">
        <v>579</v>
      </c>
      <c r="F54" t="s">
        <v>580</v>
      </c>
      <c r="G54" t="s">
        <v>14</v>
      </c>
      <c r="H54" t="s">
        <v>122</v>
      </c>
      <c r="I54" t="s">
        <v>123</v>
      </c>
      <c r="J54" t="s">
        <v>144</v>
      </c>
      <c r="K54" t="s">
        <v>152</v>
      </c>
      <c r="L54" t="s">
        <v>581</v>
      </c>
      <c r="N54" t="s">
        <v>582</v>
      </c>
      <c r="O54" t="b">
        <v>1</v>
      </c>
      <c r="P54" t="s">
        <v>583</v>
      </c>
      <c r="Q54" t="s">
        <v>584</v>
      </c>
    </row>
    <row r="55" spans="1:17" x14ac:dyDescent="0.25">
      <c r="A55">
        <v>63</v>
      </c>
      <c r="B55" t="s">
        <v>585</v>
      </c>
      <c r="D55" t="s">
        <v>586</v>
      </c>
      <c r="E55" t="s">
        <v>587</v>
      </c>
      <c r="F55" t="s">
        <v>588</v>
      </c>
      <c r="G55" t="s">
        <v>38</v>
      </c>
      <c r="H55" t="s">
        <v>122</v>
      </c>
      <c r="I55" t="s">
        <v>123</v>
      </c>
      <c r="J55" t="s">
        <v>144</v>
      </c>
      <c r="K55" t="s">
        <v>152</v>
      </c>
      <c r="L55" t="s">
        <v>589</v>
      </c>
      <c r="N55" t="s">
        <v>590</v>
      </c>
      <c r="O55" t="b">
        <v>1</v>
      </c>
      <c r="P55" t="s">
        <v>591</v>
      </c>
      <c r="Q55" t="s">
        <v>592</v>
      </c>
    </row>
    <row r="56" spans="1:17" x14ac:dyDescent="0.25">
      <c r="A56">
        <v>64</v>
      </c>
      <c r="B56" t="s">
        <v>86</v>
      </c>
      <c r="D56" t="s">
        <v>66</v>
      </c>
      <c r="E56" t="s">
        <v>593</v>
      </c>
      <c r="F56" t="s">
        <v>594</v>
      </c>
      <c r="G56" t="s">
        <v>52</v>
      </c>
      <c r="H56" t="s">
        <v>122</v>
      </c>
      <c r="I56" t="s">
        <v>123</v>
      </c>
      <c r="J56" t="s">
        <v>768</v>
      </c>
      <c r="K56" t="s">
        <v>152</v>
      </c>
      <c r="L56" t="s">
        <v>86</v>
      </c>
      <c r="N56" t="s">
        <v>595</v>
      </c>
      <c r="O56" t="b">
        <v>1</v>
      </c>
      <c r="P56" t="s">
        <v>596</v>
      </c>
      <c r="Q56" t="s">
        <v>597</v>
      </c>
    </row>
    <row r="57" spans="1:17" x14ac:dyDescent="0.25">
      <c r="A57">
        <v>65</v>
      </c>
      <c r="B57" t="s">
        <v>598</v>
      </c>
      <c r="D57" t="s">
        <v>599</v>
      </c>
      <c r="E57" t="s">
        <v>600</v>
      </c>
      <c r="F57" t="s">
        <v>601</v>
      </c>
      <c r="G57" t="s">
        <v>602</v>
      </c>
      <c r="H57" t="s">
        <v>176</v>
      </c>
      <c r="I57" t="s">
        <v>603</v>
      </c>
      <c r="J57" t="s">
        <v>769</v>
      </c>
      <c r="K57" t="s">
        <v>152</v>
      </c>
      <c r="M57" t="s">
        <v>604</v>
      </c>
      <c r="N57" t="s">
        <v>605</v>
      </c>
      <c r="O57" t="b">
        <v>1</v>
      </c>
      <c r="P57" t="s">
        <v>606</v>
      </c>
      <c r="Q57" t="s">
        <v>607</v>
      </c>
    </row>
    <row r="58" spans="1:17" x14ac:dyDescent="0.25">
      <c r="A58">
        <v>66</v>
      </c>
      <c r="B58" t="s">
        <v>608</v>
      </c>
      <c r="D58" t="s">
        <v>609</v>
      </c>
      <c r="E58" t="s">
        <v>610</v>
      </c>
      <c r="F58" t="s">
        <v>611</v>
      </c>
      <c r="G58" t="s">
        <v>612</v>
      </c>
      <c r="H58" t="s">
        <v>122</v>
      </c>
      <c r="I58" t="s">
        <v>123</v>
      </c>
      <c r="J58" t="s">
        <v>768</v>
      </c>
      <c r="K58" t="s">
        <v>152</v>
      </c>
      <c r="L58" t="s">
        <v>608</v>
      </c>
      <c r="N58" t="s">
        <v>613</v>
      </c>
      <c r="O58" t="b">
        <v>1</v>
      </c>
      <c r="P58" t="s">
        <v>614</v>
      </c>
      <c r="Q58" t="s">
        <v>615</v>
      </c>
    </row>
    <row r="59" spans="1:17" x14ac:dyDescent="0.25">
      <c r="A59">
        <v>67</v>
      </c>
      <c r="B59" t="s">
        <v>616</v>
      </c>
      <c r="D59" t="s">
        <v>617</v>
      </c>
      <c r="E59" t="s">
        <v>618</v>
      </c>
      <c r="F59" t="s">
        <v>619</v>
      </c>
      <c r="G59" t="s">
        <v>2</v>
      </c>
      <c r="H59" t="s">
        <v>122</v>
      </c>
      <c r="I59" t="s">
        <v>123</v>
      </c>
      <c r="J59" t="s">
        <v>144</v>
      </c>
      <c r="K59" t="s">
        <v>152</v>
      </c>
      <c r="L59" t="s">
        <v>620</v>
      </c>
      <c r="N59" t="s">
        <v>621</v>
      </c>
      <c r="O59" t="b">
        <v>1</v>
      </c>
      <c r="P59" t="s">
        <v>622</v>
      </c>
      <c r="Q59" t="s">
        <v>623</v>
      </c>
    </row>
    <row r="60" spans="1:17" x14ac:dyDescent="0.25">
      <c r="A60">
        <v>68</v>
      </c>
      <c r="B60" t="s">
        <v>624</v>
      </c>
      <c r="D60" t="s">
        <v>625</v>
      </c>
      <c r="E60" t="s">
        <v>626</v>
      </c>
      <c r="F60" t="s">
        <v>627</v>
      </c>
      <c r="G60" t="s">
        <v>628</v>
      </c>
      <c r="H60" t="s">
        <v>176</v>
      </c>
      <c r="I60" t="s">
        <v>603</v>
      </c>
      <c r="J60" t="s">
        <v>629</v>
      </c>
      <c r="K60" t="s">
        <v>152</v>
      </c>
      <c r="N60" t="s">
        <v>630</v>
      </c>
      <c r="O60" t="b">
        <v>1</v>
      </c>
      <c r="P60" t="s">
        <v>631</v>
      </c>
      <c r="Q60" t="s">
        <v>632</v>
      </c>
    </row>
    <row r="61" spans="1:17" x14ac:dyDescent="0.25">
      <c r="A61">
        <v>69</v>
      </c>
      <c r="B61" t="s">
        <v>633</v>
      </c>
      <c r="D61" t="s">
        <v>634</v>
      </c>
      <c r="E61" t="s">
        <v>635</v>
      </c>
      <c r="F61" t="s">
        <v>636</v>
      </c>
      <c r="G61" t="s">
        <v>22</v>
      </c>
      <c r="H61" t="s">
        <v>122</v>
      </c>
      <c r="I61" t="s">
        <v>123</v>
      </c>
      <c r="J61" t="s">
        <v>144</v>
      </c>
      <c r="K61" t="s">
        <v>152</v>
      </c>
      <c r="L61" t="s">
        <v>637</v>
      </c>
      <c r="N61" t="s">
        <v>638</v>
      </c>
      <c r="O61" t="b">
        <v>1</v>
      </c>
      <c r="P61" t="s">
        <v>639</v>
      </c>
      <c r="Q61" t="s">
        <v>640</v>
      </c>
    </row>
    <row r="62" spans="1:17" x14ac:dyDescent="0.25">
      <c r="B62" t="s">
        <v>89</v>
      </c>
      <c r="D62" t="s">
        <v>634</v>
      </c>
      <c r="G62" t="s">
        <v>22</v>
      </c>
    </row>
    <row r="63" spans="1:17" x14ac:dyDescent="0.25">
      <c r="A63">
        <v>70</v>
      </c>
      <c r="B63" t="s">
        <v>641</v>
      </c>
      <c r="D63" t="s">
        <v>25</v>
      </c>
      <c r="E63" t="s">
        <v>642</v>
      </c>
      <c r="F63" t="s">
        <v>643</v>
      </c>
      <c r="G63" t="s">
        <v>26</v>
      </c>
      <c r="H63" t="s">
        <v>122</v>
      </c>
      <c r="I63" t="s">
        <v>123</v>
      </c>
      <c r="J63" t="s">
        <v>644</v>
      </c>
      <c r="K63" t="s">
        <v>152</v>
      </c>
      <c r="L63" t="s">
        <v>641</v>
      </c>
      <c r="N63" t="s">
        <v>645</v>
      </c>
      <c r="O63" t="b">
        <v>1</v>
      </c>
      <c r="P63" t="s">
        <v>646</v>
      </c>
      <c r="Q63" t="s">
        <v>647</v>
      </c>
    </row>
    <row r="64" spans="1:17" x14ac:dyDescent="0.25">
      <c r="A64">
        <v>71</v>
      </c>
      <c r="B64" t="s">
        <v>648</v>
      </c>
      <c r="D64" t="s">
        <v>649</v>
      </c>
      <c r="E64" t="s">
        <v>650</v>
      </c>
      <c r="F64" t="s">
        <v>651</v>
      </c>
      <c r="G64" t="s">
        <v>652</v>
      </c>
      <c r="H64" t="s">
        <v>122</v>
      </c>
      <c r="I64" t="s">
        <v>123</v>
      </c>
      <c r="J64" t="s">
        <v>543</v>
      </c>
      <c r="K64" t="s">
        <v>152</v>
      </c>
      <c r="L64" t="s">
        <v>654</v>
      </c>
      <c r="N64" t="s">
        <v>655</v>
      </c>
      <c r="O64" t="b">
        <v>1</v>
      </c>
      <c r="P64" t="s">
        <v>656</v>
      </c>
      <c r="Q64" t="s">
        <v>657</v>
      </c>
    </row>
    <row r="65" spans="1:17" x14ac:dyDescent="0.25">
      <c r="A65">
        <v>72</v>
      </c>
      <c r="B65" t="s">
        <v>658</v>
      </c>
      <c r="D65" t="s">
        <v>659</v>
      </c>
      <c r="E65" t="s">
        <v>660</v>
      </c>
      <c r="F65" t="s">
        <v>661</v>
      </c>
      <c r="G65" t="s">
        <v>662</v>
      </c>
      <c r="H65" t="s">
        <v>348</v>
      </c>
      <c r="I65" t="s">
        <v>348</v>
      </c>
      <c r="J65" t="s">
        <v>349</v>
      </c>
      <c r="K65" t="s">
        <v>152</v>
      </c>
      <c r="N65" t="s">
        <v>663</v>
      </c>
      <c r="O65" t="b">
        <v>1</v>
      </c>
      <c r="P65" t="s">
        <v>664</v>
      </c>
      <c r="Q65" t="s">
        <v>665</v>
      </c>
    </row>
    <row r="66" spans="1:17" x14ac:dyDescent="0.25">
      <c r="A66">
        <v>73</v>
      </c>
      <c r="B66" t="s">
        <v>666</v>
      </c>
      <c r="D66" t="s">
        <v>46</v>
      </c>
      <c r="E66" t="s">
        <v>667</v>
      </c>
      <c r="F66" t="s">
        <v>668</v>
      </c>
      <c r="G66" t="s">
        <v>47</v>
      </c>
      <c r="H66" t="s">
        <v>122</v>
      </c>
      <c r="I66" t="s">
        <v>123</v>
      </c>
      <c r="J66" t="s">
        <v>124</v>
      </c>
      <c r="K66" t="s">
        <v>152</v>
      </c>
      <c r="L66" t="s">
        <v>666</v>
      </c>
      <c r="N66" t="s">
        <v>669</v>
      </c>
      <c r="O66" t="s">
        <v>401</v>
      </c>
      <c r="P66" t="s">
        <v>670</v>
      </c>
      <c r="Q66" t="s">
        <v>671</v>
      </c>
    </row>
    <row r="67" spans="1:17" x14ac:dyDescent="0.25">
      <c r="A67">
        <v>74</v>
      </c>
      <c r="B67" t="s">
        <v>369</v>
      </c>
      <c r="D67" t="s">
        <v>672</v>
      </c>
      <c r="E67" t="s">
        <v>673</v>
      </c>
      <c r="F67" t="s">
        <v>674</v>
      </c>
      <c r="G67" t="s">
        <v>675</v>
      </c>
      <c r="H67" t="s">
        <v>122</v>
      </c>
      <c r="I67" t="s">
        <v>123</v>
      </c>
      <c r="J67" t="s">
        <v>151</v>
      </c>
      <c r="K67" t="s">
        <v>152</v>
      </c>
      <c r="L67" t="s">
        <v>369</v>
      </c>
      <c r="M67" t="s">
        <v>676</v>
      </c>
      <c r="N67" t="s">
        <v>374</v>
      </c>
      <c r="O67" t="b">
        <v>1</v>
      </c>
      <c r="P67" t="s">
        <v>677</v>
      </c>
      <c r="Q67" t="s">
        <v>678</v>
      </c>
    </row>
    <row r="68" spans="1:17" x14ac:dyDescent="0.25">
      <c r="A68">
        <v>75</v>
      </c>
      <c r="B68" t="s">
        <v>679</v>
      </c>
      <c r="D68" t="s">
        <v>680</v>
      </c>
      <c r="E68" t="s">
        <v>681</v>
      </c>
      <c r="F68" t="s">
        <v>682</v>
      </c>
      <c r="G68" t="s">
        <v>683</v>
      </c>
      <c r="H68" t="s">
        <v>348</v>
      </c>
      <c r="I68" t="s">
        <v>348</v>
      </c>
      <c r="J68" t="s">
        <v>349</v>
      </c>
      <c r="K68" t="s">
        <v>152</v>
      </c>
      <c r="N68" t="s">
        <v>684</v>
      </c>
      <c r="O68" t="b">
        <v>1</v>
      </c>
      <c r="P68" t="s">
        <v>685</v>
      </c>
      <c r="Q68" t="s">
        <v>686</v>
      </c>
    </row>
    <row r="69" spans="1:17" x14ac:dyDescent="0.25">
      <c r="A69">
        <v>76</v>
      </c>
      <c r="B69" t="s">
        <v>687</v>
      </c>
      <c r="D69" t="s">
        <v>688</v>
      </c>
      <c r="E69" t="s">
        <v>689</v>
      </c>
      <c r="F69" t="s">
        <v>690</v>
      </c>
      <c r="G69" t="s">
        <v>691</v>
      </c>
      <c r="H69" t="s">
        <v>122</v>
      </c>
      <c r="I69" t="s">
        <v>123</v>
      </c>
      <c r="J69" t="s">
        <v>144</v>
      </c>
      <c r="K69" t="s">
        <v>152</v>
      </c>
      <c r="N69" t="s">
        <v>692</v>
      </c>
      <c r="O69" t="b">
        <v>1</v>
      </c>
      <c r="P69" t="s">
        <v>693</v>
      </c>
      <c r="Q69" t="s">
        <v>694</v>
      </c>
    </row>
    <row r="70" spans="1:17" x14ac:dyDescent="0.25">
      <c r="A70">
        <v>77</v>
      </c>
      <c r="B70" t="s">
        <v>695</v>
      </c>
      <c r="D70" t="s">
        <v>696</v>
      </c>
      <c r="E70" t="s">
        <v>697</v>
      </c>
      <c r="F70" t="s">
        <v>698</v>
      </c>
      <c r="G70" t="s">
        <v>699</v>
      </c>
      <c r="H70" t="s">
        <v>176</v>
      </c>
      <c r="I70" t="s">
        <v>700</v>
      </c>
      <c r="J70" t="s">
        <v>629</v>
      </c>
      <c r="K70" t="s">
        <v>701</v>
      </c>
      <c r="L70" t="s">
        <v>695</v>
      </c>
      <c r="N70" t="s">
        <v>702</v>
      </c>
      <c r="O70" t="b">
        <v>1</v>
      </c>
      <c r="P70" t="s">
        <v>703</v>
      </c>
      <c r="Q70" t="s">
        <v>704</v>
      </c>
    </row>
    <row r="71" spans="1:17" x14ac:dyDescent="0.25">
      <c r="A71">
        <v>78</v>
      </c>
      <c r="B71" t="s">
        <v>705</v>
      </c>
      <c r="D71" t="s">
        <v>706</v>
      </c>
      <c r="E71" t="s">
        <v>707</v>
      </c>
      <c r="F71" t="s">
        <v>708</v>
      </c>
      <c r="G71" t="s">
        <v>709</v>
      </c>
      <c r="H71" t="s">
        <v>176</v>
      </c>
      <c r="I71" t="s">
        <v>603</v>
      </c>
      <c r="J71" t="s">
        <v>710</v>
      </c>
      <c r="K71" t="s">
        <v>152</v>
      </c>
      <c r="L71" t="s">
        <v>705</v>
      </c>
      <c r="N71" t="s">
        <v>711</v>
      </c>
      <c r="O71" t="b">
        <v>1</v>
      </c>
      <c r="P71" t="s">
        <v>712</v>
      </c>
      <c r="Q71" t="s">
        <v>713</v>
      </c>
    </row>
    <row r="72" spans="1:17" x14ac:dyDescent="0.25">
      <c r="A72">
        <v>79</v>
      </c>
      <c r="B72" t="s">
        <v>714</v>
      </c>
      <c r="D72" t="s">
        <v>31</v>
      </c>
      <c r="E72" t="s">
        <v>715</v>
      </c>
      <c r="F72" t="s">
        <v>716</v>
      </c>
      <c r="G72" t="s">
        <v>32</v>
      </c>
      <c r="H72" t="s">
        <v>122</v>
      </c>
      <c r="I72" t="s">
        <v>123</v>
      </c>
      <c r="J72" t="s">
        <v>124</v>
      </c>
      <c r="K72" t="s">
        <v>152</v>
      </c>
      <c r="L72" t="s">
        <v>714</v>
      </c>
      <c r="N72" t="s">
        <v>717</v>
      </c>
      <c r="O72" t="b">
        <v>0</v>
      </c>
      <c r="P72" t="s">
        <v>718</v>
      </c>
      <c r="Q72" t="s">
        <v>719</v>
      </c>
    </row>
    <row r="73" spans="1:17" x14ac:dyDescent="0.25">
      <c r="A73">
        <v>80</v>
      </c>
      <c r="B73" t="s">
        <v>720</v>
      </c>
      <c r="D73" t="s">
        <v>721</v>
      </c>
      <c r="E73" t="s">
        <v>722</v>
      </c>
      <c r="F73" t="s">
        <v>723</v>
      </c>
      <c r="G73" t="s">
        <v>724</v>
      </c>
      <c r="H73" t="s">
        <v>176</v>
      </c>
      <c r="I73" t="s">
        <v>603</v>
      </c>
      <c r="J73" t="s">
        <v>710</v>
      </c>
      <c r="K73" t="s">
        <v>152</v>
      </c>
      <c r="L73" t="s">
        <v>720</v>
      </c>
      <c r="N73" t="s">
        <v>725</v>
      </c>
      <c r="O73" t="b">
        <v>1</v>
      </c>
      <c r="P73" t="s">
        <v>726</v>
      </c>
      <c r="Q73" t="s">
        <v>727</v>
      </c>
    </row>
    <row r="74" spans="1:17" x14ac:dyDescent="0.25">
      <c r="A74">
        <v>81</v>
      </c>
      <c r="B74" t="s">
        <v>728</v>
      </c>
      <c r="D74" t="s">
        <v>729</v>
      </c>
      <c r="E74" t="s">
        <v>730</v>
      </c>
      <c r="F74" t="s">
        <v>731</v>
      </c>
      <c r="G74" t="s">
        <v>732</v>
      </c>
      <c r="H74" t="s">
        <v>122</v>
      </c>
      <c r="I74" t="s">
        <v>123</v>
      </c>
      <c r="J74" t="s">
        <v>543</v>
      </c>
      <c r="K74" t="s">
        <v>152</v>
      </c>
      <c r="L74" t="s">
        <v>733</v>
      </c>
      <c r="N74" t="s">
        <v>221</v>
      </c>
      <c r="O74" t="b">
        <v>1</v>
      </c>
      <c r="P74" t="s">
        <v>734</v>
      </c>
      <c r="Q74" t="s">
        <v>735</v>
      </c>
    </row>
    <row r="75" spans="1:17" x14ac:dyDescent="0.25">
      <c r="A75">
        <v>82</v>
      </c>
      <c r="B75" t="s">
        <v>736</v>
      </c>
      <c r="D75" t="s">
        <v>737</v>
      </c>
      <c r="E75" t="s">
        <v>738</v>
      </c>
      <c r="F75" t="s">
        <v>739</v>
      </c>
      <c r="G75" t="s">
        <v>740</v>
      </c>
      <c r="H75" t="s">
        <v>122</v>
      </c>
      <c r="I75" t="s">
        <v>123</v>
      </c>
      <c r="J75" t="s">
        <v>543</v>
      </c>
      <c r="K75" t="s">
        <v>152</v>
      </c>
      <c r="L75" t="s">
        <v>741</v>
      </c>
      <c r="N75" t="s">
        <v>742</v>
      </c>
      <c r="O75" t="s">
        <v>222</v>
      </c>
      <c r="P75" t="s">
        <v>743</v>
      </c>
      <c r="Q75" t="s">
        <v>744</v>
      </c>
    </row>
    <row r="76" spans="1:17" x14ac:dyDescent="0.25">
      <c r="A76">
        <v>83</v>
      </c>
      <c r="B76" t="s">
        <v>391</v>
      </c>
      <c r="D76" t="s">
        <v>23</v>
      </c>
      <c r="E76" t="s">
        <v>745</v>
      </c>
      <c r="F76" t="s">
        <v>393</v>
      </c>
      <c r="G76" t="s">
        <v>746</v>
      </c>
      <c r="H76" t="s">
        <v>122</v>
      </c>
      <c r="I76" t="s">
        <v>123</v>
      </c>
      <c r="J76" t="s">
        <v>124</v>
      </c>
      <c r="K76" t="s">
        <v>152</v>
      </c>
      <c r="L76" t="s">
        <v>391</v>
      </c>
      <c r="N76" t="s">
        <v>747</v>
      </c>
      <c r="O76" t="b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8D91-7F73-4E0D-A51F-A48CB5604D0D}">
  <dimension ref="A1:L44"/>
  <sheetViews>
    <sheetView workbookViewId="0">
      <selection activeCell="D2" sqref="D2"/>
    </sheetView>
  </sheetViews>
  <sheetFormatPr defaultRowHeight="15" x14ac:dyDescent="0.25"/>
  <cols>
    <col min="1" max="1" width="19.7109375" bestFit="1" customWidth="1"/>
    <col min="2" max="2" width="23.7109375" bestFit="1" customWidth="1"/>
    <col min="3" max="3" width="15.28515625" bestFit="1" customWidth="1"/>
    <col min="5" max="5" width="22.28515625" customWidth="1"/>
    <col min="6" max="6" width="18" bestFit="1" customWidth="1"/>
    <col min="7" max="7" width="22.85546875" bestFit="1" customWidth="1"/>
  </cols>
  <sheetData>
    <row r="1" spans="1:7" ht="45" x14ac:dyDescent="0.25">
      <c r="A1" t="s">
        <v>776</v>
      </c>
      <c r="B1" t="s">
        <v>777</v>
      </c>
      <c r="C1" t="s">
        <v>754</v>
      </c>
      <c r="E1" s="2" t="s">
        <v>774</v>
      </c>
      <c r="F1" t="s">
        <v>773</v>
      </c>
      <c r="G1" t="s">
        <v>779</v>
      </c>
    </row>
    <row r="2" spans="1:7" x14ac:dyDescent="0.25">
      <c r="A2" t="s">
        <v>80</v>
      </c>
      <c r="B2" t="s">
        <v>80</v>
      </c>
      <c r="C2" t="s">
        <v>50</v>
      </c>
      <c r="D2" t="str">
        <f>_xlfn.XLOOKUP(TRIM(B2),ActiveMD!B:B,ActiveMD!D:D,"notfound")</f>
        <v>TW</v>
      </c>
      <c r="E2" t="str">
        <f>_xlfn.XLOOKUP(TRIM(C2),ActiveMD!G:G,ActiveMD!D:D,"notfound")</f>
        <v>TW</v>
      </c>
      <c r="F2" t="str">
        <f t="shared" ref="F2:F44" si="0">IF(D2=E2,D2,"need to be checked")</f>
        <v>TW</v>
      </c>
    </row>
    <row r="3" spans="1:7" x14ac:dyDescent="0.25">
      <c r="A3" t="s">
        <v>81</v>
      </c>
      <c r="B3" t="s">
        <v>81</v>
      </c>
      <c r="C3" t="s">
        <v>4</v>
      </c>
      <c r="D3" t="str">
        <f>_xlfn.XLOOKUP(TRIM(B3),ActiveMD!B:B,ActiveMD!D:D,"notfound")</f>
        <v>AM</v>
      </c>
      <c r="E3" t="str">
        <f>_xlfn.XLOOKUP(TRIM(C3),ActiveMD!G:G,ActiveMD!D:D,"notfound")</f>
        <v>AM</v>
      </c>
      <c r="F3" t="str">
        <f t="shared" si="0"/>
        <v>AM</v>
      </c>
    </row>
    <row r="4" spans="1:7" x14ac:dyDescent="0.25">
      <c r="A4" t="s">
        <v>82</v>
      </c>
      <c r="B4" t="s">
        <v>82</v>
      </c>
      <c r="C4" t="s">
        <v>41</v>
      </c>
      <c r="D4" t="str">
        <f>_xlfn.XLOOKUP(TRIM(B4),ActiveMD!B:B,ActiveMD!D:D,"notfound")</f>
        <v>MA</v>
      </c>
      <c r="E4" t="str">
        <f>_xlfn.XLOOKUP(TRIM(C4),ActiveMD!G:G,ActiveMD!D:D,"notfound")</f>
        <v>MA</v>
      </c>
      <c r="F4" t="str">
        <f t="shared" si="0"/>
        <v>MA</v>
      </c>
    </row>
    <row r="5" spans="1:7" x14ac:dyDescent="0.25">
      <c r="A5" t="s">
        <v>83</v>
      </c>
      <c r="B5" t="s">
        <v>83</v>
      </c>
      <c r="C5" t="s">
        <v>51</v>
      </c>
      <c r="D5" t="str">
        <f>_xlfn.XLOOKUP(TRIM(B5),ActiveMD!B:B,ActiveMD!D:D,"notfound")</f>
        <v>AT</v>
      </c>
      <c r="E5" t="str">
        <f>_xlfn.XLOOKUP(TRIM(C5),ActiveMD!G:G,ActiveMD!D:D,"notfound")</f>
        <v>AT</v>
      </c>
      <c r="F5" t="str">
        <f t="shared" si="0"/>
        <v>AT</v>
      </c>
    </row>
    <row r="6" spans="1:7" x14ac:dyDescent="0.25">
      <c r="A6" t="s">
        <v>84</v>
      </c>
      <c r="B6" t="s">
        <v>84</v>
      </c>
      <c r="C6" t="s">
        <v>11</v>
      </c>
      <c r="D6" t="str">
        <f>_xlfn.XLOOKUP(TRIM(B6),ActiveMD!B:B,ActiveMD!D:D,"notfound")</f>
        <v>notfound</v>
      </c>
      <c r="E6" t="str">
        <f>_xlfn.XLOOKUP(TRIM(C6),ActiveMD!G:G,ActiveMD!D:D,"notfound")</f>
        <v>RAN</v>
      </c>
      <c r="F6" t="str">
        <f t="shared" si="0"/>
        <v>need to be checked</v>
      </c>
      <c r="G6" t="s">
        <v>781</v>
      </c>
    </row>
    <row r="7" spans="1:7" x14ac:dyDescent="0.25">
      <c r="A7" t="s">
        <v>85</v>
      </c>
      <c r="B7" t="s">
        <v>577</v>
      </c>
      <c r="C7" t="s">
        <v>14</v>
      </c>
      <c r="D7" t="str">
        <f>_xlfn.XLOOKUP(TRIM(B7),ActiveMD!B:B,ActiveMD!D:D,"notfound")</f>
        <v>CNRD</v>
      </c>
      <c r="E7" t="str">
        <f>_xlfn.XLOOKUP(TRIM(C7),ActiveMD!G:G,ActiveMD!D:D,"notfound")</f>
        <v>CNRD</v>
      </c>
      <c r="F7" t="str">
        <f t="shared" si="0"/>
        <v>CNRD</v>
      </c>
      <c r="G7" t="s">
        <v>1221</v>
      </c>
    </row>
    <row r="8" spans="1:7" x14ac:dyDescent="0.25">
      <c r="A8" t="s">
        <v>86</v>
      </c>
      <c r="B8" t="s">
        <v>86</v>
      </c>
      <c r="C8" t="s">
        <v>52</v>
      </c>
      <c r="D8" t="str">
        <f>_xlfn.XLOOKUP(TRIM(B8),ActiveMD!B:B,ActiveMD!D:D,"notfound")</f>
        <v>JP</v>
      </c>
      <c r="E8" t="str">
        <f>_xlfn.XLOOKUP(TRIM(C8),ActiveMD!G:G,ActiveMD!D:D,"notfound")</f>
        <v>JP</v>
      </c>
      <c r="F8" t="str">
        <f t="shared" si="0"/>
        <v>JP</v>
      </c>
    </row>
    <row r="9" spans="1:7" x14ac:dyDescent="0.25">
      <c r="A9" t="s">
        <v>87</v>
      </c>
      <c r="B9" t="s">
        <v>87</v>
      </c>
      <c r="C9" t="s">
        <v>53</v>
      </c>
      <c r="D9" t="str">
        <f>_xlfn.XLOOKUP(TRIM(B9),ActiveMD!B:B,ActiveMD!D:D,"notfound")</f>
        <v>AZ</v>
      </c>
      <c r="E9" t="str">
        <f>_xlfn.XLOOKUP(TRIM(C9),ActiveMD!G:G,ActiveMD!D:D,"notfound")</f>
        <v>AZ</v>
      </c>
      <c r="F9" t="str">
        <f t="shared" si="0"/>
        <v>AZ</v>
      </c>
    </row>
    <row r="10" spans="1:7" x14ac:dyDescent="0.25">
      <c r="A10" t="s">
        <v>369</v>
      </c>
      <c r="B10" t="s">
        <v>369</v>
      </c>
      <c r="C10" s="4" t="s">
        <v>675</v>
      </c>
      <c r="D10" t="str">
        <f>_xlfn.XLOOKUP(TRIM(B10),ActiveMD!B:B,ActiveMD!D:D,"notfound")</f>
        <v>US</v>
      </c>
      <c r="E10" t="str">
        <f>_xlfn.XLOOKUP(TRIM(C10),ActiveMD!G:G,ActiveMD!D:D,"notfound")</f>
        <v>US</v>
      </c>
      <c r="F10" t="str">
        <f t="shared" si="0"/>
        <v>US</v>
      </c>
    </row>
    <row r="11" spans="1:7" x14ac:dyDescent="0.25">
      <c r="A11" t="s">
        <v>89</v>
      </c>
      <c r="B11" t="s">
        <v>633</v>
      </c>
      <c r="C11" t="s">
        <v>22</v>
      </c>
      <c r="D11" t="str">
        <f>_xlfn.XLOOKUP(TRIM(B11),ActiveMD!B:B,ActiveMD!D:D,"notfound")</f>
        <v>CCSL</v>
      </c>
      <c r="E11" t="str">
        <f>_xlfn.XLOOKUP(TRIM(C11),ActiveMD!G:G,ActiveMD!D:D,"notfound")</f>
        <v>CCSL</v>
      </c>
      <c r="F11" t="str">
        <f t="shared" si="0"/>
        <v>CCSL</v>
      </c>
    </row>
    <row r="12" spans="1:7" x14ac:dyDescent="0.25">
      <c r="A12" t="s">
        <v>90</v>
      </c>
      <c r="B12" t="s">
        <v>616</v>
      </c>
      <c r="C12" t="s">
        <v>2</v>
      </c>
      <c r="D12" t="str">
        <f>_xlfn.XLOOKUP(TRIM(B12),ActiveMD!B:B,ActiveMD!D:D,"notfound")</f>
        <v>CSEE</v>
      </c>
      <c r="E12" t="str">
        <f>_xlfn.XLOOKUP(TRIM(C12),ActiveMD!G:G,ActiveMD!D:D,"notfound")</f>
        <v>CSEE</v>
      </c>
      <c r="F12" t="str">
        <f t="shared" si="0"/>
        <v>CSEE</v>
      </c>
      <c r="G12" t="s">
        <v>1222</v>
      </c>
    </row>
    <row r="13" spans="1:7" x14ac:dyDescent="0.25">
      <c r="A13" t="s">
        <v>91</v>
      </c>
      <c r="B13" t="s">
        <v>585</v>
      </c>
      <c r="C13" t="s">
        <v>38</v>
      </c>
      <c r="D13" t="str">
        <f>_xlfn.XLOOKUP(TRIM(B13),ActiveMD!B:B,ActiveMD!D:D,"notfound")</f>
        <v>CBNL</v>
      </c>
      <c r="E13" t="str">
        <f>_xlfn.XLOOKUP(TRIM(C13),ActiveMD!G:G,ActiveMD!D:D,"notfound")</f>
        <v>CBNL</v>
      </c>
      <c r="F13" t="str">
        <f t="shared" si="0"/>
        <v>CBNL</v>
      </c>
    </row>
    <row r="14" spans="1:7" x14ac:dyDescent="0.25">
      <c r="A14" t="s">
        <v>92</v>
      </c>
      <c r="B14" t="s">
        <v>633</v>
      </c>
      <c r="C14" t="s">
        <v>22</v>
      </c>
      <c r="D14" t="str">
        <f>_xlfn.XLOOKUP(TRIM(B14),ActiveMD!B:B,ActiveMD!D:D,"notfound")</f>
        <v>CCSL</v>
      </c>
      <c r="E14" t="str">
        <f>_xlfn.XLOOKUP(TRIM(C14),ActiveMD!G:G,ActiveMD!D:D,"notfound")</f>
        <v>CCSL</v>
      </c>
      <c r="F14" t="str">
        <f t="shared" si="0"/>
        <v>CCSL</v>
      </c>
    </row>
    <row r="15" spans="1:7" x14ac:dyDescent="0.25">
      <c r="A15" t="s">
        <v>93</v>
      </c>
      <c r="B15" t="s">
        <v>93</v>
      </c>
      <c r="C15" t="s">
        <v>55</v>
      </c>
      <c r="D15" t="str">
        <f>_xlfn.XLOOKUP(TRIM(B15),ActiveMD!B:B,ActiveMD!D:D,"notfound")</f>
        <v>MX</v>
      </c>
      <c r="E15" t="str">
        <f>_xlfn.XLOOKUP(TRIM(C15),ActiveMD!G:G,ActiveMD!D:D,"notfound")</f>
        <v>MX</v>
      </c>
      <c r="F15" t="str">
        <f t="shared" si="0"/>
        <v>MX</v>
      </c>
    </row>
    <row r="16" spans="1:7" x14ac:dyDescent="0.25">
      <c r="A16" t="s">
        <v>94</v>
      </c>
      <c r="B16" t="s">
        <v>94</v>
      </c>
      <c r="C16" t="s">
        <v>56</v>
      </c>
      <c r="D16" t="str">
        <f>_xlfn.XLOOKUP(TRIM(B16),ActiveMD!B:B,ActiveMD!D:D,"notfound")</f>
        <v>PK</v>
      </c>
      <c r="E16" t="str">
        <f>_xlfn.XLOOKUP(TRIM(C16),ActiveMD!G:G,ActiveMD!D:D,"notfound")</f>
        <v>PK</v>
      </c>
      <c r="F16" t="str">
        <f t="shared" si="0"/>
        <v>PK</v>
      </c>
    </row>
    <row r="17" spans="1:12" x14ac:dyDescent="0.25">
      <c r="A17" t="s">
        <v>95</v>
      </c>
      <c r="B17" t="s">
        <v>100</v>
      </c>
      <c r="C17" t="s">
        <v>28</v>
      </c>
      <c r="D17" t="str">
        <f>_xlfn.XLOOKUP(TRIM(B17),ActiveMD!B:B,ActiveMD!D:D,"notfound")</f>
        <v>EG</v>
      </c>
      <c r="E17" t="str">
        <f>_xlfn.XLOOKUP(TRIM(C17),ActiveMD!G:G,ActiveMD!D:D,"notfound")</f>
        <v>EG</v>
      </c>
      <c r="F17" t="str">
        <f t="shared" si="0"/>
        <v>EG</v>
      </c>
    </row>
    <row r="18" spans="1:12" x14ac:dyDescent="0.25">
      <c r="A18" t="s">
        <v>96</v>
      </c>
      <c r="B18" t="s">
        <v>243</v>
      </c>
      <c r="C18" t="s">
        <v>57</v>
      </c>
      <c r="D18" t="str">
        <f>_xlfn.XLOOKUP(TRIM(B18),ActiveMD!B:B,ActiveMD!D:D,"notfound")</f>
        <v>CZSK</v>
      </c>
      <c r="E18" t="str">
        <f>_xlfn.XLOOKUP(TRIM(C18),ActiveMD!G:G,ActiveMD!D:D,"notfound")</f>
        <v>CZSK</v>
      </c>
      <c r="F18" t="str">
        <f t="shared" si="0"/>
        <v>CZSK</v>
      </c>
    </row>
    <row r="19" spans="1:12" x14ac:dyDescent="0.25">
      <c r="A19" t="s">
        <v>97</v>
      </c>
      <c r="B19" t="s">
        <v>585</v>
      </c>
      <c r="C19" t="s">
        <v>38</v>
      </c>
      <c r="D19" t="str">
        <f>_xlfn.XLOOKUP(TRIM(B19),ActiveMD!B:B,ActiveMD!D:D,"notfound")</f>
        <v>CBNL</v>
      </c>
      <c r="E19" t="str">
        <f>_xlfn.XLOOKUP(TRIM(C19),ActiveMD!G:G,ActiveMD!D:D,"notfound")</f>
        <v>CBNL</v>
      </c>
      <c r="F19" t="str">
        <f t="shared" si="0"/>
        <v>CBNL</v>
      </c>
    </row>
    <row r="20" spans="1:12" x14ac:dyDescent="0.25">
      <c r="A20" t="s">
        <v>98</v>
      </c>
      <c r="B20" t="s">
        <v>98</v>
      </c>
      <c r="C20" t="s">
        <v>58</v>
      </c>
      <c r="D20" t="str">
        <f>_xlfn.XLOOKUP(TRIM(B20),ActiveMD!B:B,ActiveMD!D:D,"notfound")</f>
        <v>ID</v>
      </c>
      <c r="E20" t="str">
        <f>_xlfn.XLOOKUP(TRIM(C20),ActiveMD!G:G,ActiveMD!D:D,"notfound")</f>
        <v>ID</v>
      </c>
      <c r="F20" t="str">
        <f t="shared" si="0"/>
        <v>ID</v>
      </c>
    </row>
    <row r="21" spans="1:12" x14ac:dyDescent="0.25">
      <c r="A21" t="s">
        <v>99</v>
      </c>
      <c r="B21" t="s">
        <v>99</v>
      </c>
      <c r="C21" t="s">
        <v>59</v>
      </c>
      <c r="D21" t="str">
        <f>_xlfn.XLOOKUP(TRIM(B21),ActiveMD!B:B,ActiveMD!D:D,"notfound")</f>
        <v>PH</v>
      </c>
      <c r="E21" t="str">
        <f>_xlfn.XLOOKUP(TRIM(C21),ActiveMD!G:G,ActiveMD!D:D,"notfound")</f>
        <v>PH</v>
      </c>
      <c r="F21" t="str">
        <f t="shared" si="0"/>
        <v>PH</v>
      </c>
    </row>
    <row r="22" spans="1:12" x14ac:dyDescent="0.25">
      <c r="A22" t="s">
        <v>100</v>
      </c>
      <c r="B22" t="s">
        <v>100</v>
      </c>
      <c r="C22" t="s">
        <v>28</v>
      </c>
      <c r="D22" t="str">
        <f>_xlfn.XLOOKUP(TRIM(B22),ActiveMD!B:B,ActiveMD!D:D,"notfound")</f>
        <v>EG</v>
      </c>
      <c r="E22" t="str">
        <f>_xlfn.XLOOKUP(TRIM(C22),ActiveMD!G:G,ActiveMD!D:D,"notfound")</f>
        <v>EG</v>
      </c>
      <c r="F22" t="str">
        <f t="shared" si="0"/>
        <v>EG</v>
      </c>
    </row>
    <row r="23" spans="1:12" x14ac:dyDescent="0.25">
      <c r="A23" t="s">
        <v>101</v>
      </c>
      <c r="B23" t="s">
        <v>778</v>
      </c>
      <c r="C23" t="s">
        <v>60</v>
      </c>
      <c r="D23" t="str">
        <f>_xlfn.XLOOKUP(TRIM(B23),ActiveMD!B:B,ActiveMD!D:D,"notfound")</f>
        <v>CMY</v>
      </c>
      <c r="E23" t="str">
        <f>_xlfn.XLOOKUP(TRIM(C23),ActiveMD!G:G,ActiveMD!D:D,"notfound")</f>
        <v>CMY</v>
      </c>
      <c r="F23" t="str">
        <f t="shared" si="0"/>
        <v>CMY</v>
      </c>
    </row>
    <row r="24" spans="1:12" x14ac:dyDescent="0.25">
      <c r="A24" t="s">
        <v>102</v>
      </c>
      <c r="B24" t="s">
        <v>82</v>
      </c>
      <c r="C24" t="s">
        <v>41</v>
      </c>
      <c r="D24" t="str">
        <f>_xlfn.XLOOKUP(TRIM(B24),ActiveMD!B:B,ActiveMD!D:D,"notfound")</f>
        <v>MA</v>
      </c>
      <c r="E24" t="str">
        <f>_xlfn.XLOOKUP(TRIM(C24),ActiveMD!G:G,ActiveMD!D:D,"notfound")</f>
        <v>MA</v>
      </c>
      <c r="F24" t="str">
        <f t="shared" si="0"/>
        <v>MA</v>
      </c>
    </row>
    <row r="25" spans="1:12" x14ac:dyDescent="0.25">
      <c r="A25" t="s">
        <v>103</v>
      </c>
      <c r="B25" t="s">
        <v>103</v>
      </c>
      <c r="C25" t="s">
        <v>30</v>
      </c>
      <c r="D25" t="str">
        <f>_xlfn.XLOOKUP(TRIM(B25),ActiveMD!B:B,ActiveMD!D:D,"notfound")</f>
        <v>notfound</v>
      </c>
      <c r="E25" t="str">
        <f>_xlfn.XLOOKUP(TRIM(C25),ActiveMD!G:G,ActiveMD!D:D,"notfound")</f>
        <v>notfound</v>
      </c>
      <c r="F25" t="str">
        <f t="shared" si="0"/>
        <v>notfound</v>
      </c>
    </row>
    <row r="26" spans="1:12" x14ac:dyDescent="0.25">
      <c r="A26" t="s">
        <v>104</v>
      </c>
      <c r="B26" t="s">
        <v>375</v>
      </c>
      <c r="C26" t="s">
        <v>11</v>
      </c>
      <c r="D26" t="str">
        <f>_xlfn.XLOOKUP(TRIM(B26),ActiveMD!B:B,ActiveMD!D:D,"notfound")</f>
        <v>RAN</v>
      </c>
      <c r="E26" t="str">
        <f>_xlfn.XLOOKUP(TRIM(C26),ActiveMD!G:G,ActiveMD!D:D,"notfound")</f>
        <v>RAN</v>
      </c>
      <c r="F26" t="str">
        <f t="shared" si="0"/>
        <v>RAN</v>
      </c>
      <c r="K26" t="s">
        <v>13</v>
      </c>
      <c r="L26" t="s">
        <v>1269</v>
      </c>
    </row>
    <row r="27" spans="1:12" x14ac:dyDescent="0.25">
      <c r="A27" t="s">
        <v>105</v>
      </c>
      <c r="B27" t="s">
        <v>547</v>
      </c>
      <c r="C27" t="s">
        <v>10</v>
      </c>
      <c r="D27" t="str">
        <f>_xlfn.XLOOKUP(TRIM(B27),ActiveMD!B:B,ActiveMD!D:D,"notfound")</f>
        <v>CME</v>
      </c>
      <c r="E27" t="str">
        <f>_xlfn.XLOOKUP(TRIM(C27),ActiveMD!G:G,ActiveMD!D:D,"notfound")</f>
        <v>CME</v>
      </c>
      <c r="F27" t="str">
        <f t="shared" si="0"/>
        <v>CME</v>
      </c>
      <c r="K27" t="s">
        <v>34</v>
      </c>
      <c r="L27" t="s">
        <v>1268</v>
      </c>
    </row>
    <row r="28" spans="1:12" x14ac:dyDescent="0.25">
      <c r="A28" t="s">
        <v>106</v>
      </c>
      <c r="B28" t="s">
        <v>106</v>
      </c>
      <c r="C28" t="s">
        <v>61</v>
      </c>
      <c r="D28" t="str">
        <f>_xlfn.XLOOKUP(TRIM(B28),ActiveMD!B:B,ActiveMD!D:D,"notfound")</f>
        <v>UK</v>
      </c>
      <c r="E28" t="str">
        <f>_xlfn.XLOOKUP(TRIM(C28),ActiveMD!G:G,ActiveMD!D:D,"notfound")</f>
        <v>UK</v>
      </c>
      <c r="F28" t="str">
        <f t="shared" si="0"/>
        <v>UK</v>
      </c>
      <c r="K28" t="s">
        <v>30</v>
      </c>
      <c r="L28" t="s">
        <v>782</v>
      </c>
    </row>
    <row r="29" spans="1:12" x14ac:dyDescent="0.25">
      <c r="A29" t="s">
        <v>107</v>
      </c>
      <c r="B29" t="s">
        <v>107</v>
      </c>
      <c r="C29" t="s">
        <v>11</v>
      </c>
      <c r="D29" t="str">
        <f>_xlfn.XLOOKUP(TRIM(B29),ActiveMD!B:B,ActiveMD!D:D,"notfound")</f>
        <v>notfound</v>
      </c>
      <c r="E29" t="str">
        <f>_xlfn.XLOOKUP(TRIM(C29),ActiveMD!G:G,ActiveMD!D:D,"notfound")</f>
        <v>RAN</v>
      </c>
      <c r="F29" t="str">
        <f t="shared" si="0"/>
        <v>need to be checked</v>
      </c>
      <c r="G29" t="s">
        <v>781</v>
      </c>
    </row>
    <row r="30" spans="1:12" x14ac:dyDescent="0.25">
      <c r="A30" t="s">
        <v>108</v>
      </c>
      <c r="B30" t="s">
        <v>108</v>
      </c>
      <c r="C30" t="s">
        <v>13</v>
      </c>
      <c r="D30" t="str">
        <f>_xlfn.XLOOKUP(TRIM(B30),ActiveMD!B:B,ActiveMD!D:D,"notfound")</f>
        <v>notfound</v>
      </c>
      <c r="E30" t="str">
        <f>_xlfn.XLOOKUP(TRIM(C30),ActiveMD!G:G,ActiveMD!D:D,"notfound")</f>
        <v>CY</v>
      </c>
      <c r="F30" t="str">
        <f t="shared" si="0"/>
        <v>need to be checked</v>
      </c>
      <c r="G30" t="s">
        <v>780</v>
      </c>
    </row>
    <row r="31" spans="1:12" x14ac:dyDescent="0.25">
      <c r="A31" t="s">
        <v>109</v>
      </c>
      <c r="B31" t="s">
        <v>100</v>
      </c>
      <c r="C31" t="s">
        <v>28</v>
      </c>
      <c r="D31" t="str">
        <f>_xlfn.XLOOKUP(TRIM(B31),ActiveMD!B:B,ActiveMD!D:D,"notfound")</f>
        <v>EG</v>
      </c>
      <c r="E31" t="str">
        <f>_xlfn.XLOOKUP(TRIM(C31),ActiveMD!G:G,ActiveMD!D:D,"notfound")</f>
        <v>EG</v>
      </c>
      <c r="F31" t="str">
        <f t="shared" si="0"/>
        <v>EG</v>
      </c>
    </row>
    <row r="32" spans="1:12" x14ac:dyDescent="0.25">
      <c r="A32" t="s">
        <v>110</v>
      </c>
      <c r="B32" t="s">
        <v>110</v>
      </c>
      <c r="C32" t="s">
        <v>30</v>
      </c>
      <c r="D32" t="str">
        <f>_xlfn.XLOOKUP(TRIM(B32),ActiveMD!B:B,ActiveMD!D:D,"notfound")</f>
        <v>notfound</v>
      </c>
      <c r="E32" t="str">
        <f>_xlfn.XLOOKUP(TRIM(C32),ActiveMD!G:G,ActiveMD!D:D,"notfound")</f>
        <v>notfound</v>
      </c>
      <c r="F32" t="str">
        <f t="shared" si="0"/>
        <v>notfound</v>
      </c>
      <c r="G32" t="s">
        <v>782</v>
      </c>
    </row>
    <row r="33" spans="1:7" x14ac:dyDescent="0.25">
      <c r="A33" t="s">
        <v>111</v>
      </c>
      <c r="B33" t="s">
        <v>111</v>
      </c>
      <c r="C33" t="s">
        <v>62</v>
      </c>
      <c r="D33" t="str">
        <f>_xlfn.XLOOKUP(TRIM(B33),ActiveMD!B:B,ActiveMD!D:D,"notfound")</f>
        <v>DE</v>
      </c>
      <c r="E33" t="str">
        <f>_xlfn.XLOOKUP(TRIM(C33),ActiveMD!G:G,ActiveMD!D:D,"notfound")</f>
        <v>DE</v>
      </c>
      <c r="F33" t="str">
        <f t="shared" si="0"/>
        <v>DE</v>
      </c>
    </row>
    <row r="34" spans="1:7" x14ac:dyDescent="0.25">
      <c r="A34" t="s">
        <v>112</v>
      </c>
      <c r="B34" t="s">
        <v>112</v>
      </c>
      <c r="C34" t="s">
        <v>44</v>
      </c>
      <c r="D34" t="str">
        <f>_xlfn.XLOOKUP(TRIM(B34),ActiveMD!B:B,ActiveMD!D:D,"notfound")</f>
        <v>ZA</v>
      </c>
      <c r="E34" t="str">
        <f>_xlfn.XLOOKUP(TRIM(C34),ActiveMD!G:G,ActiveMD!D:D,"notfound")</f>
        <v>ZA</v>
      </c>
      <c r="F34" t="str">
        <f t="shared" si="0"/>
        <v>ZA</v>
      </c>
    </row>
    <row r="35" spans="1:7" x14ac:dyDescent="0.25">
      <c r="A35" t="s">
        <v>113</v>
      </c>
      <c r="B35" t="s">
        <v>113</v>
      </c>
      <c r="C35" t="s">
        <v>11</v>
      </c>
      <c r="D35" t="str">
        <f>_xlfn.XLOOKUP(TRIM(B35),ActiveMD!B:B,ActiveMD!D:D,"notfound")</f>
        <v>notfound</v>
      </c>
      <c r="E35" t="str">
        <f>_xlfn.XLOOKUP(TRIM(C35),ActiveMD!G:G,ActiveMD!D:D,"notfound")</f>
        <v>RAN</v>
      </c>
      <c r="F35" t="str">
        <f t="shared" si="0"/>
        <v>need to be checked</v>
      </c>
      <c r="G35" t="s">
        <v>781</v>
      </c>
    </row>
    <row r="36" spans="1:7" x14ac:dyDescent="0.25">
      <c r="A36" t="s">
        <v>114</v>
      </c>
      <c r="B36" t="s">
        <v>82</v>
      </c>
      <c r="C36" t="s">
        <v>41</v>
      </c>
      <c r="D36" t="str">
        <f>_xlfn.XLOOKUP(TRIM(B36),ActiveMD!B:B,ActiveMD!D:D,"notfound")</f>
        <v>MA</v>
      </c>
      <c r="E36" t="str">
        <f>_xlfn.XLOOKUP(TRIM(C36),ActiveMD!G:G,ActiveMD!D:D,"notfound")</f>
        <v>MA</v>
      </c>
      <c r="F36" t="str">
        <f t="shared" si="0"/>
        <v>MA</v>
      </c>
    </row>
    <row r="37" spans="1:7" x14ac:dyDescent="0.25">
      <c r="A37" t="s">
        <v>115</v>
      </c>
      <c r="B37" t="s">
        <v>547</v>
      </c>
      <c r="C37" t="s">
        <v>10</v>
      </c>
      <c r="D37" t="str">
        <f>_xlfn.XLOOKUP(TRIM(B37),ActiveMD!B:B,ActiveMD!D:D,"notfound")</f>
        <v>CME</v>
      </c>
      <c r="E37" t="str">
        <f>_xlfn.XLOOKUP(TRIM(C37),ActiveMD!G:G,ActiveMD!D:D,"notfound")</f>
        <v>CME</v>
      </c>
      <c r="F37" t="str">
        <f t="shared" si="0"/>
        <v>CME</v>
      </c>
    </row>
    <row r="38" spans="1:7" x14ac:dyDescent="0.25">
      <c r="A38" t="s">
        <v>116</v>
      </c>
      <c r="B38" t="s">
        <v>116</v>
      </c>
      <c r="C38" t="s">
        <v>63</v>
      </c>
      <c r="D38" t="str">
        <f>_xlfn.XLOOKUP(TRIM(B38),ActiveMD!B:B,ActiveMD!D:D,"notfound")</f>
        <v>FR</v>
      </c>
      <c r="E38" t="str">
        <f>_xlfn.XLOOKUP(TRIM(C38),ActiveMD!G:G,ActiveMD!D:D,"notfound")</f>
        <v>FR</v>
      </c>
      <c r="F38" t="str">
        <f t="shared" si="0"/>
        <v>FR</v>
      </c>
    </row>
    <row r="39" spans="1:7" x14ac:dyDescent="0.25">
      <c r="A39" t="s">
        <v>117</v>
      </c>
      <c r="B39" t="s">
        <v>243</v>
      </c>
      <c r="C39" t="s">
        <v>57</v>
      </c>
      <c r="D39" t="str">
        <f>_xlfn.XLOOKUP(TRIM(B39),ActiveMD!B:B,ActiveMD!D:D,"notfound")</f>
        <v>CZSK</v>
      </c>
      <c r="E39" t="str">
        <f>_xlfn.XLOOKUP(TRIM(C39),ActiveMD!G:G,ActiveMD!D:D,"notfound")</f>
        <v>CZSK</v>
      </c>
      <c r="F39" t="str">
        <f t="shared" si="0"/>
        <v>CZSK</v>
      </c>
    </row>
    <row r="40" spans="1:7" x14ac:dyDescent="0.25">
      <c r="A40" t="s">
        <v>118</v>
      </c>
      <c r="B40" t="s">
        <v>118</v>
      </c>
      <c r="C40" t="s">
        <v>34</v>
      </c>
      <c r="D40" t="str">
        <f>_xlfn.XLOOKUP(TRIM(B40),ActiveMD!B:B,ActiveMD!D:D,"notfound")</f>
        <v>notfound</v>
      </c>
      <c r="E40" t="str">
        <f>_xlfn.XLOOKUP(TRIM(C40),ActiveMD!G:G,ActiveMD!D:D,"notfound")</f>
        <v>KZ</v>
      </c>
      <c r="F40" t="str">
        <f t="shared" si="0"/>
        <v>need to be checked</v>
      </c>
      <c r="G40" t="s">
        <v>783</v>
      </c>
    </row>
    <row r="41" spans="1:7" x14ac:dyDescent="0.25">
      <c r="A41" t="s">
        <v>119</v>
      </c>
      <c r="B41" t="s">
        <v>112</v>
      </c>
      <c r="C41" t="s">
        <v>44</v>
      </c>
      <c r="D41" t="str">
        <f>_xlfn.XLOOKUP(TRIM(B41),ActiveMD!B:B,ActiveMD!D:D,"notfound")</f>
        <v>ZA</v>
      </c>
      <c r="E41" t="str">
        <f>_xlfn.XLOOKUP(TRIM(C41),ActiveMD!G:G,ActiveMD!D:D,"notfound")</f>
        <v>ZA</v>
      </c>
      <c r="F41" t="str">
        <f t="shared" si="0"/>
        <v>ZA</v>
      </c>
    </row>
    <row r="42" spans="1:7" x14ac:dyDescent="0.25">
      <c r="A42" t="s">
        <v>78</v>
      </c>
      <c r="B42" t="s">
        <v>78</v>
      </c>
      <c r="C42" t="s">
        <v>64</v>
      </c>
      <c r="D42" t="str">
        <f>_xlfn.XLOOKUP(TRIM(B42),ActiveMD!B:B,ActiveMD!D:D,"notfound")</f>
        <v>PT</v>
      </c>
      <c r="E42" t="str">
        <f>_xlfn.XLOOKUP(TRIM(C42),ActiveMD!G:G,ActiveMD!D:D,"notfound")</f>
        <v>PT</v>
      </c>
      <c r="F42" t="str">
        <f t="shared" si="0"/>
        <v>PT</v>
      </c>
    </row>
    <row r="43" spans="1:7" x14ac:dyDescent="0.25">
      <c r="A43" t="s">
        <v>79</v>
      </c>
      <c r="B43" t="s">
        <v>139</v>
      </c>
      <c r="C43" t="s">
        <v>64</v>
      </c>
      <c r="D43" t="str">
        <f>_xlfn.XLOOKUP(TRIM(B43),ActiveMD!B:B,ActiveMD!D:D,"notfound")</f>
        <v>ES</v>
      </c>
      <c r="E43" t="str">
        <f>_xlfn.XLOOKUP(TRIM(C43),ActiveMD!G:G,ActiveMD!D:D,"notfound")</f>
        <v>PT</v>
      </c>
      <c r="F43" t="str">
        <f t="shared" si="0"/>
        <v>need to be checked</v>
      </c>
      <c r="G43" t="s">
        <v>784</v>
      </c>
    </row>
    <row r="44" spans="1:7" x14ac:dyDescent="0.25">
      <c r="A44" t="s">
        <v>77</v>
      </c>
      <c r="B44" t="s">
        <v>77</v>
      </c>
      <c r="E44" t="str">
        <f>_xlfn.XLOOKUP(TRIM(C44),ActiveMD!G:G,ActiveMD!D:D,"notfound")</f>
        <v>notfound</v>
      </c>
      <c r="F44" t="str">
        <f t="shared" si="0"/>
        <v>need to be checked</v>
      </c>
      <c r="G44" t="s">
        <v>785</v>
      </c>
    </row>
  </sheetData>
  <conditionalFormatting sqref="C1:C1048576">
    <cfRule type="duplicateValues" dxfId="6" priority="2"/>
  </conditionalFormatting>
  <conditionalFormatting sqref="K26:K28">
    <cfRule type="duplicateValues" dxfId="5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7072-72A3-44CB-8FC3-C010E1B445E0}">
  <dimension ref="A1:J63"/>
  <sheetViews>
    <sheetView workbookViewId="0">
      <selection activeCell="J25" sqref="J25"/>
    </sheetView>
  </sheetViews>
  <sheetFormatPr defaultRowHeight="15" x14ac:dyDescent="0.25"/>
  <cols>
    <col min="1" max="1" width="15.28515625" bestFit="1" customWidth="1"/>
    <col min="2" max="2" width="20.140625" bestFit="1" customWidth="1"/>
    <col min="3" max="3" width="29.85546875" bestFit="1" customWidth="1"/>
    <col min="10" max="10" width="22.7109375" bestFit="1" customWidth="1"/>
  </cols>
  <sheetData>
    <row r="1" spans="1:10" x14ac:dyDescent="0.25">
      <c r="A1" t="s">
        <v>754</v>
      </c>
      <c r="B1" t="s">
        <v>1223</v>
      </c>
      <c r="C1" t="s">
        <v>749</v>
      </c>
      <c r="J1" t="s">
        <v>1266</v>
      </c>
    </row>
    <row r="2" spans="1:10" x14ac:dyDescent="0.25">
      <c r="A2" t="s">
        <v>61</v>
      </c>
      <c r="B2" t="s">
        <v>1224</v>
      </c>
      <c r="C2" t="s">
        <v>106</v>
      </c>
      <c r="J2" t="str" cm="1">
        <f t="array" ref="J2:J29">_xlfn.UNIQUE(A2:A43)</f>
        <v>AL36445</v>
      </c>
    </row>
    <row r="3" spans="1:10" x14ac:dyDescent="0.25">
      <c r="A3" t="s">
        <v>58</v>
      </c>
      <c r="B3" t="s">
        <v>1225</v>
      </c>
      <c r="C3" t="s">
        <v>98</v>
      </c>
      <c r="J3" t="str">
        <v>AW40842</v>
      </c>
    </row>
    <row r="4" spans="1:10" x14ac:dyDescent="0.25">
      <c r="A4" t="s">
        <v>62</v>
      </c>
      <c r="B4" t="s">
        <v>1226</v>
      </c>
      <c r="C4" t="s">
        <v>111</v>
      </c>
      <c r="J4" t="str">
        <v>BV97446</v>
      </c>
    </row>
    <row r="5" spans="1:10" x14ac:dyDescent="0.25">
      <c r="A5" t="s">
        <v>14</v>
      </c>
      <c r="B5" t="s">
        <v>1227</v>
      </c>
      <c r="C5" t="s">
        <v>577</v>
      </c>
      <c r="J5" t="str">
        <v>EA17288</v>
      </c>
    </row>
    <row r="6" spans="1:10" x14ac:dyDescent="0.25">
      <c r="A6" t="s">
        <v>41</v>
      </c>
      <c r="B6" t="s">
        <v>1228</v>
      </c>
      <c r="C6" t="s">
        <v>82</v>
      </c>
      <c r="J6" t="str">
        <v>GT52354</v>
      </c>
    </row>
    <row r="7" spans="1:10" x14ac:dyDescent="0.25">
      <c r="A7" t="s">
        <v>41</v>
      </c>
      <c r="B7" t="s">
        <v>1229</v>
      </c>
      <c r="C7" t="s">
        <v>82</v>
      </c>
      <c r="J7" t="str">
        <v>JC24096</v>
      </c>
    </row>
    <row r="8" spans="1:10" x14ac:dyDescent="0.25">
      <c r="A8" t="s">
        <v>41</v>
      </c>
      <c r="B8" t="s">
        <v>1230</v>
      </c>
      <c r="C8" t="s">
        <v>82</v>
      </c>
      <c r="J8" t="str">
        <v>JP13634</v>
      </c>
    </row>
    <row r="9" spans="1:10" x14ac:dyDescent="0.25">
      <c r="A9" t="s">
        <v>44</v>
      </c>
      <c r="B9" t="s">
        <v>1231</v>
      </c>
      <c r="C9" t="s">
        <v>112</v>
      </c>
      <c r="J9" t="str">
        <v>KC62702</v>
      </c>
    </row>
    <row r="10" spans="1:10" x14ac:dyDescent="0.25">
      <c r="A10" t="s">
        <v>44</v>
      </c>
      <c r="B10" t="s">
        <v>1232</v>
      </c>
      <c r="C10" t="s">
        <v>112</v>
      </c>
      <c r="J10" t="str">
        <v>KG15403</v>
      </c>
    </row>
    <row r="11" spans="1:10" x14ac:dyDescent="0.25">
      <c r="A11" t="s">
        <v>51</v>
      </c>
      <c r="B11" t="s">
        <v>1233</v>
      </c>
      <c r="C11" t="s">
        <v>83</v>
      </c>
      <c r="J11" t="str">
        <v>KM45799</v>
      </c>
    </row>
    <row r="12" spans="1:10" x14ac:dyDescent="0.25">
      <c r="A12" t="s">
        <v>38</v>
      </c>
      <c r="B12" t="s">
        <v>1234</v>
      </c>
      <c r="C12" t="s">
        <v>585</v>
      </c>
      <c r="J12" t="str">
        <v>LS15602</v>
      </c>
    </row>
    <row r="13" spans="1:10" x14ac:dyDescent="0.25">
      <c r="A13" t="s">
        <v>38</v>
      </c>
      <c r="B13" t="s">
        <v>1235</v>
      </c>
      <c r="C13" t="s">
        <v>585</v>
      </c>
      <c r="J13" t="str">
        <v>MN17341</v>
      </c>
    </row>
    <row r="14" spans="1:10" x14ac:dyDescent="0.25">
      <c r="A14" t="s">
        <v>59</v>
      </c>
      <c r="B14" t="s">
        <v>1236</v>
      </c>
      <c r="C14" t="s">
        <v>99</v>
      </c>
      <c r="J14" t="str">
        <v>MU28789</v>
      </c>
    </row>
    <row r="15" spans="1:10" x14ac:dyDescent="0.25">
      <c r="A15" t="s">
        <v>28</v>
      </c>
      <c r="B15" t="s">
        <v>1237</v>
      </c>
      <c r="C15" t="s">
        <v>100</v>
      </c>
      <c r="J15" t="str">
        <v>MZ13437</v>
      </c>
    </row>
    <row r="16" spans="1:10" x14ac:dyDescent="0.25">
      <c r="A16" t="s">
        <v>28</v>
      </c>
      <c r="B16" t="s">
        <v>1238</v>
      </c>
      <c r="C16" t="s">
        <v>100</v>
      </c>
      <c r="J16" t="str">
        <v>NB65125</v>
      </c>
    </row>
    <row r="17" spans="1:10" x14ac:dyDescent="0.25">
      <c r="A17" t="s">
        <v>28</v>
      </c>
      <c r="B17" t="s">
        <v>1239</v>
      </c>
      <c r="C17" t="s">
        <v>100</v>
      </c>
      <c r="J17" t="str">
        <v>NJ29393</v>
      </c>
    </row>
    <row r="18" spans="1:10" x14ac:dyDescent="0.25">
      <c r="A18" t="s">
        <v>60</v>
      </c>
      <c r="B18" t="s">
        <v>1240</v>
      </c>
      <c r="C18" t="s">
        <v>778</v>
      </c>
      <c r="J18" t="str">
        <v>NV50168</v>
      </c>
    </row>
    <row r="19" spans="1:10" x14ac:dyDescent="0.25">
      <c r="A19" t="s">
        <v>57</v>
      </c>
      <c r="B19" t="s">
        <v>1241</v>
      </c>
      <c r="C19" t="s">
        <v>243</v>
      </c>
      <c r="J19" t="str">
        <v>QS39772</v>
      </c>
    </row>
    <row r="20" spans="1:10" x14ac:dyDescent="0.25">
      <c r="A20" t="s">
        <v>57</v>
      </c>
      <c r="B20" t="s">
        <v>1242</v>
      </c>
      <c r="C20" t="s">
        <v>243</v>
      </c>
      <c r="J20" t="str">
        <v>XDB62269</v>
      </c>
    </row>
    <row r="21" spans="1:10" x14ac:dyDescent="0.25">
      <c r="A21" t="s">
        <v>53</v>
      </c>
      <c r="B21" t="s">
        <v>1243</v>
      </c>
      <c r="C21" t="s">
        <v>87</v>
      </c>
      <c r="J21" t="str">
        <v>SW91921</v>
      </c>
    </row>
    <row r="22" spans="1:10" x14ac:dyDescent="0.25">
      <c r="A22" t="s">
        <v>4</v>
      </c>
      <c r="B22" t="s">
        <v>284</v>
      </c>
      <c r="C22" t="s">
        <v>81</v>
      </c>
      <c r="J22" t="str">
        <v>TB87741</v>
      </c>
    </row>
    <row r="23" spans="1:10" x14ac:dyDescent="0.25">
      <c r="A23" t="s">
        <v>52</v>
      </c>
      <c r="B23" t="s">
        <v>1244</v>
      </c>
      <c r="C23" t="s">
        <v>86</v>
      </c>
      <c r="J23" t="str">
        <v>TQ34613</v>
      </c>
    </row>
    <row r="24" spans="1:10" x14ac:dyDescent="0.25">
      <c r="A24" t="s">
        <v>2</v>
      </c>
      <c r="B24" t="s">
        <v>1245</v>
      </c>
      <c r="C24" t="s">
        <v>616</v>
      </c>
      <c r="J24" t="str">
        <v>TX15762</v>
      </c>
    </row>
    <row r="25" spans="1:10" x14ac:dyDescent="0.25">
      <c r="A25" t="s">
        <v>10</v>
      </c>
      <c r="B25" t="s">
        <v>1246</v>
      </c>
      <c r="C25" t="s">
        <v>547</v>
      </c>
      <c r="J25" t="str">
        <v>US15333</v>
      </c>
    </row>
    <row r="26" spans="1:10" x14ac:dyDescent="0.25">
      <c r="A26" t="s">
        <v>10</v>
      </c>
      <c r="B26" t="s">
        <v>1247</v>
      </c>
      <c r="C26" t="s">
        <v>547</v>
      </c>
      <c r="J26" t="str">
        <v>XP62606</v>
      </c>
    </row>
    <row r="27" spans="1:10" x14ac:dyDescent="0.25">
      <c r="A27" t="s">
        <v>64</v>
      </c>
      <c r="B27" t="s">
        <v>1248</v>
      </c>
      <c r="C27" t="s">
        <v>78</v>
      </c>
      <c r="J27" t="str">
        <v>ZC94311</v>
      </c>
    </row>
    <row r="28" spans="1:10" x14ac:dyDescent="0.25">
      <c r="A28" t="s">
        <v>64</v>
      </c>
      <c r="B28" t="s">
        <v>1249</v>
      </c>
      <c r="C28" t="s">
        <v>78</v>
      </c>
      <c r="J28" t="str">
        <v>ZR99368</v>
      </c>
    </row>
    <row r="29" spans="1:10" x14ac:dyDescent="0.25">
      <c r="A29" t="s">
        <v>675</v>
      </c>
      <c r="B29" t="s">
        <v>1250</v>
      </c>
      <c r="C29" t="s">
        <v>369</v>
      </c>
      <c r="J29" t="str">
        <v>VP63759</v>
      </c>
    </row>
    <row r="30" spans="1:10" x14ac:dyDescent="0.25">
      <c r="A30" t="s">
        <v>55</v>
      </c>
      <c r="B30" t="s">
        <v>1251</v>
      </c>
      <c r="C30" t="s">
        <v>93</v>
      </c>
    </row>
    <row r="31" spans="1:10" x14ac:dyDescent="0.25">
      <c r="A31" t="s">
        <v>63</v>
      </c>
      <c r="B31" t="s">
        <v>1252</v>
      </c>
      <c r="C31" t="s">
        <v>116</v>
      </c>
    </row>
    <row r="32" spans="1:10" x14ac:dyDescent="0.25">
      <c r="A32" t="s">
        <v>50</v>
      </c>
      <c r="B32" t="s">
        <v>1253</v>
      </c>
      <c r="C32" t="s">
        <v>80</v>
      </c>
    </row>
    <row r="33" spans="1:10" x14ac:dyDescent="0.25">
      <c r="A33" t="s">
        <v>22</v>
      </c>
      <c r="B33" t="s">
        <v>1254</v>
      </c>
      <c r="C33" t="s">
        <v>633</v>
      </c>
    </row>
    <row r="34" spans="1:10" x14ac:dyDescent="0.25">
      <c r="A34" t="s">
        <v>22</v>
      </c>
      <c r="B34" t="s">
        <v>1255</v>
      </c>
      <c r="C34" t="s">
        <v>633</v>
      </c>
    </row>
    <row r="35" spans="1:10" x14ac:dyDescent="0.25">
      <c r="A35" t="s">
        <v>13</v>
      </c>
      <c r="B35" t="s">
        <v>1256</v>
      </c>
      <c r="C35" t="s">
        <v>164</v>
      </c>
    </row>
    <row r="36" spans="1:10" x14ac:dyDescent="0.25">
      <c r="A36" t="s">
        <v>11</v>
      </c>
      <c r="B36" t="s">
        <v>1257</v>
      </c>
      <c r="C36" t="s">
        <v>375</v>
      </c>
    </row>
    <row r="37" spans="1:10" x14ac:dyDescent="0.25">
      <c r="A37" t="s">
        <v>11</v>
      </c>
      <c r="B37" t="s">
        <v>1258</v>
      </c>
      <c r="C37" t="s">
        <v>375</v>
      </c>
    </row>
    <row r="38" spans="1:10" ht="16.5" x14ac:dyDescent="0.25">
      <c r="A38" t="s">
        <v>11</v>
      </c>
      <c r="B38" t="s">
        <v>1259</v>
      </c>
      <c r="C38" t="s">
        <v>375</v>
      </c>
      <c r="J38" s="6" t="s">
        <v>1267</v>
      </c>
    </row>
    <row r="39" spans="1:10" x14ac:dyDescent="0.25">
      <c r="A39" t="s">
        <v>11</v>
      </c>
      <c r="B39" t="s">
        <v>1260</v>
      </c>
      <c r="C39" t="s">
        <v>375</v>
      </c>
      <c r="J39" t="s">
        <v>61</v>
      </c>
    </row>
    <row r="40" spans="1:10" x14ac:dyDescent="0.25">
      <c r="A40" t="s">
        <v>34</v>
      </c>
      <c r="B40" t="s">
        <v>1261</v>
      </c>
      <c r="C40" t="s">
        <v>215</v>
      </c>
      <c r="J40" t="s">
        <v>58</v>
      </c>
    </row>
    <row r="41" spans="1:10" x14ac:dyDescent="0.25">
      <c r="A41" t="s">
        <v>56</v>
      </c>
      <c r="B41" t="s">
        <v>1262</v>
      </c>
      <c r="C41" t="s">
        <v>94</v>
      </c>
      <c r="J41" t="s">
        <v>62</v>
      </c>
    </row>
    <row r="42" spans="1:10" hidden="1" x14ac:dyDescent="0.25">
      <c r="A42" t="s">
        <v>30</v>
      </c>
      <c r="B42" t="s">
        <v>1263</v>
      </c>
      <c r="C42" t="s">
        <v>1264</v>
      </c>
      <c r="J42" t="s">
        <v>14</v>
      </c>
    </row>
    <row r="43" spans="1:10" hidden="1" x14ac:dyDescent="0.25">
      <c r="A43" t="s">
        <v>30</v>
      </c>
      <c r="B43" t="s">
        <v>1265</v>
      </c>
      <c r="C43" t="s">
        <v>1264</v>
      </c>
      <c r="J43" t="s">
        <v>41</v>
      </c>
    </row>
    <row r="44" spans="1:10" x14ac:dyDescent="0.25">
      <c r="J44" t="s">
        <v>44</v>
      </c>
    </row>
    <row r="45" spans="1:10" x14ac:dyDescent="0.25">
      <c r="J45" t="s">
        <v>51</v>
      </c>
    </row>
    <row r="46" spans="1:10" x14ac:dyDescent="0.25">
      <c r="J46" t="s">
        <v>38</v>
      </c>
    </row>
    <row r="47" spans="1:10" x14ac:dyDescent="0.25">
      <c r="J47" t="s">
        <v>59</v>
      </c>
    </row>
    <row r="48" spans="1:10" x14ac:dyDescent="0.25">
      <c r="J48" t="s">
        <v>28</v>
      </c>
    </row>
    <row r="49" spans="10:10" x14ac:dyDescent="0.25">
      <c r="J49" t="s">
        <v>60</v>
      </c>
    </row>
    <row r="50" spans="10:10" x14ac:dyDescent="0.25">
      <c r="J50" t="s">
        <v>57</v>
      </c>
    </row>
    <row r="51" spans="10:10" x14ac:dyDescent="0.25">
      <c r="J51" t="s">
        <v>53</v>
      </c>
    </row>
    <row r="52" spans="10:10" x14ac:dyDescent="0.25">
      <c r="J52" t="s">
        <v>4</v>
      </c>
    </row>
    <row r="53" spans="10:10" x14ac:dyDescent="0.25">
      <c r="J53" t="s">
        <v>52</v>
      </c>
    </row>
    <row r="54" spans="10:10" x14ac:dyDescent="0.25">
      <c r="J54" t="s">
        <v>2</v>
      </c>
    </row>
    <row r="55" spans="10:10" x14ac:dyDescent="0.25">
      <c r="J55" t="s">
        <v>10</v>
      </c>
    </row>
    <row r="56" spans="10:10" x14ac:dyDescent="0.25">
      <c r="J56" t="s">
        <v>64</v>
      </c>
    </row>
    <row r="57" spans="10:10" x14ac:dyDescent="0.25">
      <c r="J57" t="s">
        <v>55</v>
      </c>
    </row>
    <row r="58" spans="10:10" x14ac:dyDescent="0.25">
      <c r="J58" t="s">
        <v>63</v>
      </c>
    </row>
    <row r="59" spans="10:10" x14ac:dyDescent="0.25">
      <c r="J59" t="s">
        <v>50</v>
      </c>
    </row>
    <row r="60" spans="10:10" x14ac:dyDescent="0.25">
      <c r="J60" t="s">
        <v>22</v>
      </c>
    </row>
    <row r="61" spans="10:10" x14ac:dyDescent="0.25">
      <c r="J61" t="s">
        <v>675</v>
      </c>
    </row>
    <row r="62" spans="10:10" x14ac:dyDescent="0.25">
      <c r="J62" t="s">
        <v>11</v>
      </c>
    </row>
    <row r="63" spans="10:10" x14ac:dyDescent="0.25">
      <c r="J63" t="s">
        <v>56</v>
      </c>
    </row>
  </sheetData>
  <conditionalFormatting sqref="A1:A1048576">
    <cfRule type="duplicateValues" dxfId="4" priority="2"/>
  </conditionalFormatting>
  <conditionalFormatting sqref="J1:J1048576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143D-99F3-42CD-8FDD-3BD16EB15D9A}">
  <dimension ref="A1:K53"/>
  <sheetViews>
    <sheetView workbookViewId="0">
      <selection activeCell="C11" sqref="C11"/>
    </sheetView>
  </sheetViews>
  <sheetFormatPr defaultRowHeight="15" x14ac:dyDescent="0.25"/>
  <cols>
    <col min="1" max="1" width="19.7109375" bestFit="1" customWidth="1"/>
    <col min="2" max="2" width="15.28515625" bestFit="1" customWidth="1"/>
    <col min="3" max="3" width="18.140625" bestFit="1" customWidth="1"/>
  </cols>
  <sheetData>
    <row r="1" spans="1:6" x14ac:dyDescent="0.25">
      <c r="A1" t="s">
        <v>776</v>
      </c>
      <c r="B1" t="s">
        <v>754</v>
      </c>
      <c r="C1" t="s">
        <v>751</v>
      </c>
      <c r="D1" t="s">
        <v>774</v>
      </c>
      <c r="E1" t="s">
        <v>773</v>
      </c>
      <c r="F1" t="s">
        <v>779</v>
      </c>
    </row>
    <row r="2" spans="1:6" x14ac:dyDescent="0.25">
      <c r="A2" t="s">
        <v>80</v>
      </c>
      <c r="B2" t="s">
        <v>50</v>
      </c>
      <c r="C2" t="s">
        <v>48</v>
      </c>
      <c r="D2" t="s">
        <v>48</v>
      </c>
      <c r="E2" t="s">
        <v>48</v>
      </c>
    </row>
    <row r="3" spans="1:6" x14ac:dyDescent="0.25">
      <c r="A3" t="s">
        <v>81</v>
      </c>
      <c r="B3" t="s">
        <v>4</v>
      </c>
      <c r="C3" t="s">
        <v>3</v>
      </c>
      <c r="D3" t="s">
        <v>3</v>
      </c>
      <c r="E3" t="s">
        <v>3</v>
      </c>
    </row>
    <row r="4" spans="1:6" x14ac:dyDescent="0.25">
      <c r="A4" t="s">
        <v>82</v>
      </c>
      <c r="B4" t="s">
        <v>41</v>
      </c>
      <c r="C4" t="s">
        <v>409</v>
      </c>
      <c r="D4" t="s">
        <v>409</v>
      </c>
      <c r="E4" t="s">
        <v>409</v>
      </c>
    </row>
    <row r="5" spans="1:6" x14ac:dyDescent="0.25">
      <c r="A5" t="s">
        <v>83</v>
      </c>
      <c r="B5" t="s">
        <v>51</v>
      </c>
      <c r="C5" t="s">
        <v>49</v>
      </c>
      <c r="D5" t="s">
        <v>49</v>
      </c>
      <c r="E5" t="s">
        <v>49</v>
      </c>
    </row>
    <row r="6" spans="1:6" x14ac:dyDescent="0.25">
      <c r="A6" t="s">
        <v>85</v>
      </c>
      <c r="B6" t="s">
        <v>14</v>
      </c>
      <c r="C6" t="s">
        <v>578</v>
      </c>
      <c r="D6" t="s">
        <v>578</v>
      </c>
      <c r="E6" t="s">
        <v>578</v>
      </c>
    </row>
    <row r="7" spans="1:6" x14ac:dyDescent="0.25">
      <c r="A7" t="s">
        <v>86</v>
      </c>
      <c r="B7" t="s">
        <v>52</v>
      </c>
      <c r="C7" t="s">
        <v>66</v>
      </c>
      <c r="D7" t="s">
        <v>66</v>
      </c>
      <c r="E7" t="s">
        <v>66</v>
      </c>
    </row>
    <row r="8" spans="1:6" x14ac:dyDescent="0.25">
      <c r="A8" t="s">
        <v>87</v>
      </c>
      <c r="B8" t="s">
        <v>53</v>
      </c>
      <c r="C8" t="s">
        <v>70</v>
      </c>
      <c r="D8" t="s">
        <v>70</v>
      </c>
      <c r="E8" t="s">
        <v>70</v>
      </c>
    </row>
    <row r="9" spans="1:6" x14ac:dyDescent="0.25">
      <c r="A9" t="s">
        <v>369</v>
      </c>
      <c r="B9" t="s">
        <v>675</v>
      </c>
      <c r="C9" t="s">
        <v>672</v>
      </c>
      <c r="D9" t="s">
        <v>672</v>
      </c>
      <c r="E9" t="s">
        <v>672</v>
      </c>
    </row>
    <row r="10" spans="1:6" x14ac:dyDescent="0.25">
      <c r="A10" t="s">
        <v>89</v>
      </c>
      <c r="B10" t="s">
        <v>22</v>
      </c>
      <c r="C10" t="s">
        <v>634</v>
      </c>
      <c r="D10" t="s">
        <v>634</v>
      </c>
      <c r="E10" t="s">
        <v>634</v>
      </c>
    </row>
    <row r="11" spans="1:6" x14ac:dyDescent="0.25">
      <c r="A11" t="s">
        <v>90</v>
      </c>
      <c r="B11" t="s">
        <v>2</v>
      </c>
      <c r="C11" t="s">
        <v>617</v>
      </c>
      <c r="D11" t="s">
        <v>617</v>
      </c>
      <c r="E11" t="s">
        <v>617</v>
      </c>
    </row>
    <row r="12" spans="1:6" x14ac:dyDescent="0.25">
      <c r="A12" t="s">
        <v>91</v>
      </c>
      <c r="B12" t="s">
        <v>38</v>
      </c>
      <c r="C12" t="s">
        <v>586</v>
      </c>
      <c r="D12" t="s">
        <v>586</v>
      </c>
      <c r="E12" t="s">
        <v>586</v>
      </c>
    </row>
    <row r="13" spans="1:6" x14ac:dyDescent="0.25">
      <c r="A13" t="s">
        <v>92</v>
      </c>
      <c r="B13" t="s">
        <v>22</v>
      </c>
      <c r="C13" t="s">
        <v>634</v>
      </c>
      <c r="D13" t="s">
        <v>634</v>
      </c>
      <c r="E13" t="s">
        <v>634</v>
      </c>
    </row>
    <row r="14" spans="1:6" x14ac:dyDescent="0.25">
      <c r="A14" t="s">
        <v>93</v>
      </c>
      <c r="B14" t="s">
        <v>55</v>
      </c>
      <c r="C14" t="s">
        <v>67</v>
      </c>
      <c r="D14" t="s">
        <v>67</v>
      </c>
      <c r="E14" t="s">
        <v>67</v>
      </c>
    </row>
    <row r="15" spans="1:6" x14ac:dyDescent="0.25">
      <c r="A15" t="s">
        <v>94</v>
      </c>
      <c r="B15" t="s">
        <v>56</v>
      </c>
      <c r="C15" t="s">
        <v>68</v>
      </c>
      <c r="D15" t="s">
        <v>68</v>
      </c>
      <c r="E15" t="s">
        <v>68</v>
      </c>
    </row>
    <row r="16" spans="1:6" x14ac:dyDescent="0.25">
      <c r="A16" t="s">
        <v>95</v>
      </c>
      <c r="B16" t="s">
        <v>28</v>
      </c>
      <c r="C16" t="s">
        <v>198</v>
      </c>
      <c r="D16" t="s">
        <v>198</v>
      </c>
      <c r="E16" t="s">
        <v>198</v>
      </c>
    </row>
    <row r="17" spans="1:5" x14ac:dyDescent="0.25">
      <c r="A17" t="s">
        <v>96</v>
      </c>
      <c r="B17" t="s">
        <v>57</v>
      </c>
      <c r="C17" t="s">
        <v>71</v>
      </c>
      <c r="D17" t="s">
        <v>71</v>
      </c>
      <c r="E17" t="s">
        <v>71</v>
      </c>
    </row>
    <row r="18" spans="1:5" x14ac:dyDescent="0.25">
      <c r="A18" t="s">
        <v>97</v>
      </c>
      <c r="B18" t="s">
        <v>38</v>
      </c>
      <c r="C18" t="s">
        <v>586</v>
      </c>
      <c r="D18" t="s">
        <v>586</v>
      </c>
      <c r="E18" t="s">
        <v>586</v>
      </c>
    </row>
    <row r="19" spans="1:5" x14ac:dyDescent="0.25">
      <c r="A19" t="s">
        <v>98</v>
      </c>
      <c r="B19" t="s">
        <v>58</v>
      </c>
      <c r="C19" t="s">
        <v>69</v>
      </c>
      <c r="D19" t="s">
        <v>69</v>
      </c>
      <c r="E19" t="s">
        <v>69</v>
      </c>
    </row>
    <row r="20" spans="1:5" x14ac:dyDescent="0.25">
      <c r="A20" t="s">
        <v>99</v>
      </c>
      <c r="B20" t="s">
        <v>59</v>
      </c>
      <c r="C20" t="s">
        <v>72</v>
      </c>
      <c r="D20" t="s">
        <v>72</v>
      </c>
      <c r="E20" t="s">
        <v>72</v>
      </c>
    </row>
    <row r="21" spans="1:5" x14ac:dyDescent="0.25">
      <c r="A21" t="s">
        <v>100</v>
      </c>
      <c r="B21" t="s">
        <v>28</v>
      </c>
      <c r="C21" t="s">
        <v>198</v>
      </c>
      <c r="D21" t="s">
        <v>198</v>
      </c>
      <c r="E21" t="s">
        <v>198</v>
      </c>
    </row>
    <row r="22" spans="1:5" x14ac:dyDescent="0.25">
      <c r="A22" t="s">
        <v>101</v>
      </c>
      <c r="B22" t="s">
        <v>60</v>
      </c>
      <c r="C22" t="s">
        <v>73</v>
      </c>
      <c r="D22" t="s">
        <v>73</v>
      </c>
      <c r="E22" t="s">
        <v>73</v>
      </c>
    </row>
    <row r="23" spans="1:5" x14ac:dyDescent="0.25">
      <c r="A23" t="s">
        <v>102</v>
      </c>
      <c r="B23" t="s">
        <v>41</v>
      </c>
      <c r="C23" t="s">
        <v>409</v>
      </c>
      <c r="D23" t="s">
        <v>409</v>
      </c>
      <c r="E23" t="s">
        <v>409</v>
      </c>
    </row>
    <row r="24" spans="1:5" x14ac:dyDescent="0.25">
      <c r="A24" t="s">
        <v>104</v>
      </c>
      <c r="B24" t="s">
        <v>11</v>
      </c>
      <c r="C24" t="s">
        <v>376</v>
      </c>
      <c r="D24" t="s">
        <v>376</v>
      </c>
      <c r="E24" t="s">
        <v>376</v>
      </c>
    </row>
    <row r="25" spans="1:5" x14ac:dyDescent="0.25">
      <c r="A25" t="s">
        <v>105</v>
      </c>
      <c r="B25" t="s">
        <v>10</v>
      </c>
      <c r="C25" t="s">
        <v>548</v>
      </c>
      <c r="D25" t="s">
        <v>548</v>
      </c>
      <c r="E25" t="s">
        <v>548</v>
      </c>
    </row>
    <row r="26" spans="1:5" x14ac:dyDescent="0.25">
      <c r="A26" t="s">
        <v>106</v>
      </c>
      <c r="B26" t="s">
        <v>61</v>
      </c>
      <c r="C26" t="s">
        <v>74</v>
      </c>
      <c r="D26" t="s">
        <v>74</v>
      </c>
      <c r="E26" t="s">
        <v>74</v>
      </c>
    </row>
    <row r="27" spans="1:5" x14ac:dyDescent="0.25">
      <c r="A27" t="s">
        <v>109</v>
      </c>
      <c r="B27" t="s">
        <v>28</v>
      </c>
      <c r="C27" t="s">
        <v>198</v>
      </c>
      <c r="D27" t="s">
        <v>198</v>
      </c>
      <c r="E27" t="s">
        <v>198</v>
      </c>
    </row>
    <row r="28" spans="1:5" x14ac:dyDescent="0.25">
      <c r="A28" t="s">
        <v>111</v>
      </c>
      <c r="B28" t="s">
        <v>62</v>
      </c>
      <c r="C28" t="s">
        <v>75</v>
      </c>
      <c r="D28" t="s">
        <v>75</v>
      </c>
      <c r="E28" t="s">
        <v>75</v>
      </c>
    </row>
    <row r="29" spans="1:5" x14ac:dyDescent="0.25">
      <c r="A29" t="s">
        <v>112</v>
      </c>
      <c r="B29" t="s">
        <v>44</v>
      </c>
      <c r="C29" t="s">
        <v>528</v>
      </c>
      <c r="D29" t="s">
        <v>528</v>
      </c>
      <c r="E29" t="s">
        <v>528</v>
      </c>
    </row>
    <row r="30" spans="1:5" x14ac:dyDescent="0.25">
      <c r="A30" t="s">
        <v>114</v>
      </c>
      <c r="B30" t="s">
        <v>41</v>
      </c>
      <c r="C30" t="s">
        <v>409</v>
      </c>
      <c r="D30" t="s">
        <v>409</v>
      </c>
      <c r="E30" t="s">
        <v>409</v>
      </c>
    </row>
    <row r="31" spans="1:5" x14ac:dyDescent="0.25">
      <c r="A31" t="s">
        <v>115</v>
      </c>
      <c r="B31" t="s">
        <v>10</v>
      </c>
      <c r="C31" t="s">
        <v>548</v>
      </c>
      <c r="D31" t="s">
        <v>548</v>
      </c>
      <c r="E31" t="s">
        <v>548</v>
      </c>
    </row>
    <row r="32" spans="1:5" x14ac:dyDescent="0.25">
      <c r="A32" t="s">
        <v>116</v>
      </c>
      <c r="B32" t="s">
        <v>63</v>
      </c>
      <c r="C32" t="s">
        <v>76</v>
      </c>
      <c r="D32" t="s">
        <v>76</v>
      </c>
      <c r="E32" t="s">
        <v>76</v>
      </c>
    </row>
    <row r="33" spans="1:6" x14ac:dyDescent="0.25">
      <c r="A33" t="s">
        <v>117</v>
      </c>
      <c r="B33" t="s">
        <v>57</v>
      </c>
      <c r="C33" t="s">
        <v>71</v>
      </c>
      <c r="D33" t="s">
        <v>71</v>
      </c>
      <c r="E33" t="s">
        <v>71</v>
      </c>
    </row>
    <row r="34" spans="1:6" x14ac:dyDescent="0.25">
      <c r="A34" t="s">
        <v>119</v>
      </c>
      <c r="B34" t="s">
        <v>44</v>
      </c>
      <c r="C34" t="s">
        <v>528</v>
      </c>
      <c r="D34" t="s">
        <v>528</v>
      </c>
      <c r="E34" t="s">
        <v>528</v>
      </c>
    </row>
    <row r="35" spans="1:6" x14ac:dyDescent="0.25">
      <c r="A35" t="s">
        <v>78</v>
      </c>
      <c r="B35" t="s">
        <v>64</v>
      </c>
      <c r="C35" t="s">
        <v>65</v>
      </c>
      <c r="D35" t="s">
        <v>65</v>
      </c>
      <c r="E35" t="s">
        <v>65</v>
      </c>
    </row>
    <row r="40" spans="1:6" x14ac:dyDescent="0.25">
      <c r="A40" t="s">
        <v>84</v>
      </c>
      <c r="B40" t="s">
        <v>11</v>
      </c>
      <c r="C40" t="s">
        <v>772</v>
      </c>
      <c r="D40" t="s">
        <v>376</v>
      </c>
      <c r="E40" t="s">
        <v>786</v>
      </c>
      <c r="F40" t="s">
        <v>781</v>
      </c>
    </row>
    <row r="41" spans="1:6" x14ac:dyDescent="0.25">
      <c r="A41" t="s">
        <v>103</v>
      </c>
      <c r="B41" t="s">
        <v>30</v>
      </c>
      <c r="C41" t="s">
        <v>772</v>
      </c>
      <c r="D41" t="s">
        <v>772</v>
      </c>
      <c r="E41" t="s">
        <v>772</v>
      </c>
    </row>
    <row r="42" spans="1:6" x14ac:dyDescent="0.25">
      <c r="A42" t="s">
        <v>107</v>
      </c>
      <c r="B42" t="s">
        <v>11</v>
      </c>
      <c r="C42" t="s">
        <v>772</v>
      </c>
      <c r="D42" t="s">
        <v>376</v>
      </c>
      <c r="E42" t="s">
        <v>786</v>
      </c>
      <c r="F42" t="s">
        <v>781</v>
      </c>
    </row>
    <row r="43" spans="1:6" x14ac:dyDescent="0.25">
      <c r="A43" t="s">
        <v>108</v>
      </c>
      <c r="B43" t="s">
        <v>13</v>
      </c>
      <c r="C43" t="s">
        <v>772</v>
      </c>
      <c r="D43" t="s">
        <v>12</v>
      </c>
      <c r="E43" t="s">
        <v>786</v>
      </c>
      <c r="F43" t="s">
        <v>780</v>
      </c>
    </row>
    <row r="44" spans="1:6" x14ac:dyDescent="0.25">
      <c r="A44" t="s">
        <v>110</v>
      </c>
      <c r="B44" t="s">
        <v>30</v>
      </c>
      <c r="C44" t="s">
        <v>772</v>
      </c>
      <c r="D44" t="s">
        <v>772</v>
      </c>
      <c r="E44" t="s">
        <v>772</v>
      </c>
      <c r="F44" t="s">
        <v>782</v>
      </c>
    </row>
    <row r="45" spans="1:6" x14ac:dyDescent="0.25">
      <c r="A45" t="s">
        <v>113</v>
      </c>
      <c r="B45" t="s">
        <v>11</v>
      </c>
      <c r="C45" t="s">
        <v>772</v>
      </c>
      <c r="D45" t="s">
        <v>376</v>
      </c>
      <c r="E45" t="s">
        <v>786</v>
      </c>
      <c r="F45" t="s">
        <v>781</v>
      </c>
    </row>
    <row r="46" spans="1:6" x14ac:dyDescent="0.25">
      <c r="A46" t="s">
        <v>118</v>
      </c>
      <c r="B46" t="s">
        <v>34</v>
      </c>
      <c r="C46" t="s">
        <v>772</v>
      </c>
      <c r="D46" t="s">
        <v>33</v>
      </c>
      <c r="E46" t="s">
        <v>786</v>
      </c>
      <c r="F46" t="s">
        <v>783</v>
      </c>
    </row>
    <row r="47" spans="1:6" x14ac:dyDescent="0.25">
      <c r="A47" t="s">
        <v>79</v>
      </c>
      <c r="B47" t="s">
        <v>64</v>
      </c>
      <c r="C47" t="s">
        <v>140</v>
      </c>
      <c r="D47" t="s">
        <v>65</v>
      </c>
      <c r="E47" t="s">
        <v>786</v>
      </c>
      <c r="F47" t="s">
        <v>784</v>
      </c>
    </row>
    <row r="48" spans="1:6" x14ac:dyDescent="0.25">
      <c r="A48" t="s">
        <v>77</v>
      </c>
      <c r="D48" t="s">
        <v>772</v>
      </c>
      <c r="E48" t="s">
        <v>786</v>
      </c>
      <c r="F48" t="s">
        <v>785</v>
      </c>
    </row>
    <row r="52" spans="11:11" x14ac:dyDescent="0.25">
      <c r="K52" t="s">
        <v>34</v>
      </c>
    </row>
    <row r="53" spans="11:11" x14ac:dyDescent="0.25">
      <c r="K53" t="s">
        <v>30</v>
      </c>
    </row>
  </sheetData>
  <conditionalFormatting sqref="B1:B1048576">
    <cfRule type="duplicateValues" dxfId="2" priority="2"/>
  </conditionalFormatting>
  <conditionalFormatting sqref="K53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1086-5C2D-45F3-A352-D934323771D1}">
  <dimension ref="A1:K37"/>
  <sheetViews>
    <sheetView tabSelected="1" topLeftCell="A13" workbookViewId="0">
      <selection activeCell="I28" sqref="I28"/>
    </sheetView>
  </sheetViews>
  <sheetFormatPr defaultRowHeight="15" x14ac:dyDescent="0.25"/>
  <cols>
    <col min="1" max="1" width="19.7109375" bestFit="1" customWidth="1"/>
    <col min="2" max="2" width="15.42578125" bestFit="1" customWidth="1"/>
    <col min="3" max="3" width="8.85546875" bestFit="1" customWidth="1"/>
    <col min="4" max="5" width="32.5703125" bestFit="1" customWidth="1"/>
  </cols>
  <sheetData>
    <row r="1" spans="1:11" x14ac:dyDescent="0.25">
      <c r="A1" t="s">
        <v>1270</v>
      </c>
      <c r="B1" t="s">
        <v>1271</v>
      </c>
      <c r="C1" t="s">
        <v>1272</v>
      </c>
      <c r="D1" t="s">
        <v>1273</v>
      </c>
      <c r="E1" t="s">
        <v>1274</v>
      </c>
    </row>
    <row r="2" spans="1:11" x14ac:dyDescent="0.25">
      <c r="A2" t="s">
        <v>80</v>
      </c>
      <c r="B2" t="s">
        <v>50</v>
      </c>
      <c r="C2" t="s">
        <v>48</v>
      </c>
      <c r="D2" t="str">
        <f>_xlfn.XLOOKUP([1]Sheet1!C2,[1]PIC!D:D,[1]PIC!E:E,"notfound")</f>
        <v>MinJung.Kim@pmi.com</v>
      </c>
      <c r="E2" t="s">
        <v>1031</v>
      </c>
    </row>
    <row r="3" spans="1:11" x14ac:dyDescent="0.25">
      <c r="A3" t="s">
        <v>81</v>
      </c>
      <c r="B3" t="s">
        <v>4</v>
      </c>
      <c r="C3" t="s">
        <v>3</v>
      </c>
      <c r="D3" t="str">
        <f>_xlfn.XLOOKUP([1]Sheet1!C3,[1]PIC!D:D,[1]PIC!E:E,"notfound")</f>
        <v>Hamlet.Unusyan@pmi.com</v>
      </c>
      <c r="E3" t="s">
        <v>802</v>
      </c>
    </row>
    <row r="4" spans="1:11" x14ac:dyDescent="0.25">
      <c r="A4" t="s">
        <v>82</v>
      </c>
      <c r="B4" t="s">
        <v>41</v>
      </c>
      <c r="C4" t="s">
        <v>409</v>
      </c>
      <c r="D4" t="str">
        <f>_xlfn.XLOOKUP([1]Sheet1!C4,[1]PIC!D:D,[1]PIC!E:E,"notfound")</f>
        <v>Mohammed.Abdelfattah@pmi.com</v>
      </c>
      <c r="E4" t="s">
        <v>890</v>
      </c>
    </row>
    <row r="5" spans="1:11" x14ac:dyDescent="0.25">
      <c r="A5" t="s">
        <v>83</v>
      </c>
      <c r="B5" t="s">
        <v>51</v>
      </c>
      <c r="C5" t="s">
        <v>49</v>
      </c>
      <c r="D5" t="str">
        <f>_xlfn.XLOOKUP([1]Sheet1!C5,[1]PIC!D:D,[1]PIC!E:E,"notfound")</f>
        <v>Ankit.Rohatgi@pmi.com</v>
      </c>
      <c r="E5" t="s">
        <v>813</v>
      </c>
    </row>
    <row r="6" spans="1:11" x14ac:dyDescent="0.25">
      <c r="A6" t="s">
        <v>85</v>
      </c>
      <c r="B6" t="s">
        <v>14</v>
      </c>
      <c r="C6" t="s">
        <v>578</v>
      </c>
      <c r="D6" t="str">
        <f>_xlfn.XLOOKUP([1]Sheet1!C6,[1]PIC!D:D,[1]PIC!E:E,"notfound")</f>
        <v>Solmaz.Azimi@swma.se</v>
      </c>
      <c r="E6" t="s">
        <v>1275</v>
      </c>
      <c r="H6" t="s">
        <v>1276</v>
      </c>
    </row>
    <row r="7" spans="1:11" x14ac:dyDescent="0.25">
      <c r="A7" t="s">
        <v>86</v>
      </c>
      <c r="B7" t="s">
        <v>52</v>
      </c>
      <c r="C7" t="s">
        <v>66</v>
      </c>
      <c r="D7" t="str">
        <f>_xlfn.XLOOKUP([1]Sheet1!C7,[1]PIC!D:D,[1]PIC!E:E,"notfound")</f>
        <v>Danny.Chang@pmi.com</v>
      </c>
      <c r="E7" t="s">
        <v>937</v>
      </c>
    </row>
    <row r="8" spans="1:11" x14ac:dyDescent="0.25">
      <c r="A8" t="s">
        <v>87</v>
      </c>
      <c r="B8" t="s">
        <v>53</v>
      </c>
      <c r="C8" t="s">
        <v>70</v>
      </c>
      <c r="D8" t="str">
        <f>_xlfn.XLOOKUP([1]Sheet1!C8,[1]PIC!D:D,[1]PIC!E:E,"notfound")</f>
        <v>Hamlet.Unusyan@pmi.com</v>
      </c>
      <c r="E8" t="s">
        <v>802</v>
      </c>
    </row>
    <row r="9" spans="1:11" x14ac:dyDescent="0.25">
      <c r="A9" t="s">
        <v>369</v>
      </c>
      <c r="B9" t="s">
        <v>675</v>
      </c>
      <c r="C9" t="s">
        <v>672</v>
      </c>
      <c r="D9" t="str">
        <f>_xlfn.XLOOKUP([1]Sheet1!C9,[1]PIC!D:D,[1]PIC!E:E,"notfound")</f>
        <v>Rafik.Bhura@smpmi.com</v>
      </c>
      <c r="E9" t="s">
        <v>1219</v>
      </c>
    </row>
    <row r="10" spans="1:11" x14ac:dyDescent="0.25">
      <c r="A10" t="s">
        <v>89</v>
      </c>
      <c r="B10" t="s">
        <v>22</v>
      </c>
      <c r="C10" t="s">
        <v>634</v>
      </c>
      <c r="D10" t="str">
        <f>_xlfn.XLOOKUP([1]Sheet1!C10,[1]PIC!D:D,[1]PIC!E:E,"notfound")</f>
        <v>Danijal.Morankic@pmi.com</v>
      </c>
      <c r="E10" t="s">
        <v>861</v>
      </c>
      <c r="H10" t="s">
        <v>1277</v>
      </c>
    </row>
    <row r="11" spans="1:11" x14ac:dyDescent="0.25">
      <c r="A11" t="s">
        <v>90</v>
      </c>
      <c r="B11" t="s">
        <v>2</v>
      </c>
      <c r="C11" t="s">
        <v>617</v>
      </c>
      <c r="D11" t="s">
        <v>1014</v>
      </c>
      <c r="E11" t="s">
        <v>1014</v>
      </c>
      <c r="H11" t="s">
        <v>45</v>
      </c>
    </row>
    <row r="12" spans="1:11" x14ac:dyDescent="0.25">
      <c r="A12" t="s">
        <v>91</v>
      </c>
      <c r="B12" t="s">
        <v>38</v>
      </c>
      <c r="C12" t="s">
        <v>586</v>
      </c>
      <c r="D12" t="str">
        <f>_xlfn.XLOOKUP([1]Sheet1!C12,[1]PIC!D:D,[1]PIC!E:E,"    notfound")</f>
        <v>stefan.verschelden@pmi.com</v>
      </c>
      <c r="E12" t="s">
        <v>824</v>
      </c>
      <c r="H12" t="s">
        <v>37</v>
      </c>
    </row>
    <row r="13" spans="1:11" x14ac:dyDescent="0.25">
      <c r="A13" t="s">
        <v>92</v>
      </c>
      <c r="B13" t="s">
        <v>22</v>
      </c>
      <c r="C13" t="s">
        <v>634</v>
      </c>
      <c r="D13" t="str">
        <f>_xlfn.XLOOKUP([1]Sheet1!C13,[1]PIC!D:D,[1]PIC!E:E,"    notfound")</f>
        <v>Danijal.Morankic@pmi.com</v>
      </c>
      <c r="E13" t="s">
        <v>861</v>
      </c>
      <c r="H13" t="s">
        <v>21</v>
      </c>
      <c r="K13" t="s">
        <v>1285</v>
      </c>
    </row>
    <row r="14" spans="1:11" x14ac:dyDescent="0.25">
      <c r="A14" t="s">
        <v>93</v>
      </c>
      <c r="B14" t="s">
        <v>55</v>
      </c>
      <c r="C14" t="s">
        <v>67</v>
      </c>
      <c r="D14" t="str">
        <f>_xlfn.XLOOKUP([1]Sheet1!C14,[1]PIC!D:D,[1]PIC!E:E,"    notfound")</f>
        <v>Daniel.Diaz@pmi.com</v>
      </c>
      <c r="E14" t="s">
        <v>850</v>
      </c>
    </row>
    <row r="15" spans="1:11" x14ac:dyDescent="0.25">
      <c r="A15" t="s">
        <v>94</v>
      </c>
      <c r="B15" t="s">
        <v>56</v>
      </c>
      <c r="C15" t="s">
        <v>68</v>
      </c>
      <c r="D15" t="str">
        <f>_xlfn.XLOOKUP([1]Sheet1!C15,[1]PIC!D:D,[1]PIC!E:E,"    notfound")</f>
        <v>Zainab.Imran@pmi.com</v>
      </c>
      <c r="E15" t="s">
        <v>984</v>
      </c>
    </row>
    <row r="16" spans="1:11" x14ac:dyDescent="0.25">
      <c r="A16" t="s">
        <v>95</v>
      </c>
      <c r="B16" t="s">
        <v>28</v>
      </c>
      <c r="C16" t="s">
        <v>198</v>
      </c>
      <c r="D16" t="str">
        <f>_xlfn.XLOOKUP([1]Sheet1!C16,[1]PIC!D:D,[1]PIC!E:E,"    notfound")</f>
        <v>Mohammed.Abdelfattah@pmi.com</v>
      </c>
      <c r="E16" t="s">
        <v>890</v>
      </c>
    </row>
    <row r="17" spans="1:8" x14ac:dyDescent="0.25">
      <c r="A17" t="s">
        <v>96</v>
      </c>
      <c r="B17" t="s">
        <v>57</v>
      </c>
      <c r="C17" t="s">
        <v>71</v>
      </c>
      <c r="D17" t="str">
        <f>_xlfn.XLOOKUP([1]Sheet1!C17,[1]PIC!D:D,[1]PIC!E:E,"    notfound")</f>
        <v>Adam.Cellar@pmi.com</v>
      </c>
      <c r="E17" t="s">
        <v>874</v>
      </c>
      <c r="H17" t="s">
        <v>1193</v>
      </c>
    </row>
    <row r="18" spans="1:8" x14ac:dyDescent="0.25">
      <c r="A18" t="s">
        <v>97</v>
      </c>
      <c r="B18" t="s">
        <v>38</v>
      </c>
      <c r="C18" t="s">
        <v>586</v>
      </c>
      <c r="D18" t="str">
        <f>_xlfn.XLOOKUP([1]Sheet1!C18,[1]PIC!D:D,[1]PIC!E:E,"    notfound")</f>
        <v>stefan.verschelden@pmi.com</v>
      </c>
      <c r="E18" t="s">
        <v>824</v>
      </c>
      <c r="H18" t="s">
        <v>1278</v>
      </c>
    </row>
    <row r="19" spans="1:8" x14ac:dyDescent="0.25">
      <c r="A19" t="s">
        <v>98</v>
      </c>
      <c r="B19" t="s">
        <v>58</v>
      </c>
      <c r="C19" t="s">
        <v>69</v>
      </c>
      <c r="D19" t="str">
        <f>_xlfn.XLOOKUP([1]Sheet1!C19,[1]PIC!D:D,[1]PIC!E:E,"    notfound")</f>
        <v>Ingrid.Wijaya@sampoerna.com</v>
      </c>
      <c r="E19" t="s">
        <v>1279</v>
      </c>
    </row>
    <row r="20" spans="1:8" x14ac:dyDescent="0.25">
      <c r="A20" t="s">
        <v>99</v>
      </c>
      <c r="B20" t="s">
        <v>59</v>
      </c>
      <c r="C20" t="s">
        <v>72</v>
      </c>
      <c r="D20" t="str">
        <f>_xlfn.XLOOKUP([1]Sheet1!C20,[1]PIC!D:D,[1]PIC!E:E,"    notfound")</f>
        <v>wilhelm.su@pmi.com</v>
      </c>
      <c r="E20" t="s">
        <v>1213</v>
      </c>
    </row>
    <row r="21" spans="1:8" x14ac:dyDescent="0.25">
      <c r="A21" t="s">
        <v>100</v>
      </c>
      <c r="B21" t="s">
        <v>28</v>
      </c>
      <c r="C21" t="s">
        <v>198</v>
      </c>
      <c r="D21" t="str">
        <f>_xlfn.XLOOKUP([1]Sheet1!C21,[1]PIC!D:D,[1]PIC!E:E,"    notfound")</f>
        <v>Mohammed.Abdelfattah@pmi.com</v>
      </c>
      <c r="E21" t="s">
        <v>890</v>
      </c>
    </row>
    <row r="22" spans="1:8" x14ac:dyDescent="0.25">
      <c r="A22" t="s">
        <v>101</v>
      </c>
      <c r="B22" t="s">
        <v>60</v>
      </c>
      <c r="C22" t="s">
        <v>73</v>
      </c>
      <c r="D22" t="s">
        <v>956</v>
      </c>
      <c r="E22" t="s">
        <v>956</v>
      </c>
      <c r="H22" t="s">
        <v>1195</v>
      </c>
    </row>
    <row r="23" spans="1:8" x14ac:dyDescent="0.25">
      <c r="A23" t="s">
        <v>102</v>
      </c>
      <c r="B23" t="s">
        <v>41</v>
      </c>
      <c r="C23" t="s">
        <v>409</v>
      </c>
      <c r="D23" t="str">
        <f>_xlfn.XLOOKUP([1]Sheet1!C23,[1]PIC!D:D,[1]PIC!E:E,"    notfound")</f>
        <v>Mohammed.Abdelfattah@pmi.com</v>
      </c>
      <c r="E23" t="s">
        <v>890</v>
      </c>
    </row>
    <row r="24" spans="1:8" x14ac:dyDescent="0.25">
      <c r="A24" t="s">
        <v>104</v>
      </c>
      <c r="B24" t="s">
        <v>11</v>
      </c>
      <c r="C24" t="s">
        <v>376</v>
      </c>
      <c r="D24" t="str">
        <f>_xlfn.XLOOKUP([1]Sheet1!C24,[1]PIC!D:D,[1]PIC!E:E,"    notfound")</f>
        <v>Laura.PerezMonge@pmi.com</v>
      </c>
      <c r="E24" t="s">
        <v>795</v>
      </c>
      <c r="H24" t="s">
        <v>1280</v>
      </c>
    </row>
    <row r="25" spans="1:8" x14ac:dyDescent="0.25">
      <c r="A25" t="s">
        <v>105</v>
      </c>
      <c r="B25" t="s">
        <v>10</v>
      </c>
      <c r="C25" t="s">
        <v>548</v>
      </c>
      <c r="D25" t="str">
        <f>_xlfn.XLOOKUP([1]Sheet1!C25,[1]PIC!D:D,[1]PIC!E:E,"    notfound")</f>
        <v>Levent.Asici@pmi.com</v>
      </c>
      <c r="E25" t="s">
        <v>961</v>
      </c>
      <c r="H25" t="s">
        <v>27</v>
      </c>
    </row>
    <row r="26" spans="1:8" x14ac:dyDescent="0.25">
      <c r="A26" t="s">
        <v>106</v>
      </c>
      <c r="B26" t="s">
        <v>61</v>
      </c>
      <c r="C26" t="s">
        <v>74</v>
      </c>
      <c r="D26" t="str">
        <f>_xlfn.XLOOKUP([1]Sheet1!C26,[1]PIC!D:D,[1]PIC!E:E,"    notfound")</f>
        <v>Guilherme.Pedroso@pmi.com</v>
      </c>
      <c r="E26" t="s">
        <v>1046</v>
      </c>
      <c r="H26" t="s">
        <v>1281</v>
      </c>
    </row>
    <row r="27" spans="1:8" x14ac:dyDescent="0.25">
      <c r="A27" t="s">
        <v>109</v>
      </c>
      <c r="B27" t="s">
        <v>28</v>
      </c>
      <c r="C27" t="s">
        <v>198</v>
      </c>
      <c r="D27" t="str">
        <f>_xlfn.XLOOKUP([1]Sheet1!C27,[1]PIC!D:D,[1]PIC!E:E,"    notfound")</f>
        <v>Mohammed.Abdelfattah@pmi.com</v>
      </c>
      <c r="E27" t="s">
        <v>890</v>
      </c>
    </row>
    <row r="28" spans="1:8" x14ac:dyDescent="0.25">
      <c r="A28" t="s">
        <v>111</v>
      </c>
      <c r="B28" t="s">
        <v>62</v>
      </c>
      <c r="C28" t="s">
        <v>75</v>
      </c>
      <c r="D28" t="str">
        <f>_xlfn.XLOOKUP([1]Sheet1!C28,[1]PIC!D:D,[1]PIC!E:E,"    notfound")</f>
        <v>Michael.Koeniger@pmi.com</v>
      </c>
      <c r="E28" t="s">
        <v>1282</v>
      </c>
    </row>
    <row r="29" spans="1:8" x14ac:dyDescent="0.25">
      <c r="A29" t="s">
        <v>112</v>
      </c>
      <c r="B29" t="s">
        <v>44</v>
      </c>
      <c r="C29" t="s">
        <v>528</v>
      </c>
      <c r="D29" t="s">
        <v>890</v>
      </c>
      <c r="E29" t="s">
        <v>890</v>
      </c>
    </row>
    <row r="30" spans="1:8" x14ac:dyDescent="0.25">
      <c r="A30" t="s">
        <v>114</v>
      </c>
      <c r="B30" t="s">
        <v>41</v>
      </c>
      <c r="C30" t="s">
        <v>409</v>
      </c>
      <c r="D30" t="str">
        <f>_xlfn.XLOOKUP([1]Sheet1!C30,[1]PIC!D:D,[1]PIC!E:E,"    notfound")</f>
        <v>Mohammed.Abdelfattah@pmi.com</v>
      </c>
      <c r="E30" t="s">
        <v>890</v>
      </c>
    </row>
    <row r="31" spans="1:8" x14ac:dyDescent="0.25">
      <c r="A31" t="s">
        <v>115</v>
      </c>
      <c r="B31" t="s">
        <v>10</v>
      </c>
      <c r="C31" t="s">
        <v>548</v>
      </c>
      <c r="D31" t="str">
        <f>_xlfn.XLOOKUP([1]Sheet1!C31,[1]PIC!D:D,[1]PIC!E:E,"    notfound")</f>
        <v>Levent.Asici@pmi.com</v>
      </c>
      <c r="E31" t="s">
        <v>961</v>
      </c>
      <c r="H31" t="s">
        <v>1283</v>
      </c>
    </row>
    <row r="32" spans="1:8" x14ac:dyDescent="0.25">
      <c r="A32" t="s">
        <v>116</v>
      </c>
      <c r="B32" t="s">
        <v>63</v>
      </c>
      <c r="C32" t="s">
        <v>76</v>
      </c>
      <c r="D32" t="str">
        <f>_xlfn.XLOOKUP([1]Sheet1!C32,[1]PIC!D:D,[1]PIC!E:E,"    notfound")</f>
        <v>Xavier.Lachat@pmi.com</v>
      </c>
      <c r="E32" t="s">
        <v>898</v>
      </c>
    </row>
    <row r="33" spans="1:5" x14ac:dyDescent="0.25">
      <c r="A33" t="s">
        <v>117</v>
      </c>
      <c r="B33" t="s">
        <v>57</v>
      </c>
      <c r="C33" t="s">
        <v>71</v>
      </c>
      <c r="D33" t="str">
        <f>_xlfn.XLOOKUP([1]Sheet1!C33,[1]PIC!D:D,[1]PIC!E:E,"    notfound")</f>
        <v>Adam.Cellar@pmi.com</v>
      </c>
      <c r="E33" t="s">
        <v>874</v>
      </c>
    </row>
    <row r="34" spans="1:5" x14ac:dyDescent="0.25">
      <c r="A34" t="s">
        <v>119</v>
      </c>
      <c r="B34" t="s">
        <v>44</v>
      </c>
      <c r="C34" t="s">
        <v>528</v>
      </c>
      <c r="D34" t="s">
        <v>890</v>
      </c>
      <c r="E34" t="s">
        <v>890</v>
      </c>
    </row>
    <row r="35" spans="1:5" x14ac:dyDescent="0.25">
      <c r="A35" t="s">
        <v>78</v>
      </c>
      <c r="B35" t="s">
        <v>64</v>
      </c>
      <c r="C35" t="s">
        <v>65</v>
      </c>
      <c r="D35" t="str">
        <f>_xlfn.XLOOKUP([1]Sheet1!C35,[1]PIC!D:D,[1]PIC!E:E,"    notfound")</f>
        <v>diogo.algarvio@pmi.com</v>
      </c>
      <c r="E35" t="s">
        <v>1284</v>
      </c>
    </row>
    <row r="36" spans="1:5" x14ac:dyDescent="0.25">
      <c r="B36" t="s">
        <v>34</v>
      </c>
      <c r="C36" t="s">
        <v>33</v>
      </c>
      <c r="D36" s="5" t="s">
        <v>945</v>
      </c>
      <c r="E36" t="s">
        <v>945</v>
      </c>
    </row>
    <row r="37" spans="1:5" x14ac:dyDescent="0.25">
      <c r="B37" t="s">
        <v>30</v>
      </c>
      <c r="D37" t="s">
        <v>840</v>
      </c>
      <c r="E37" t="s">
        <v>840</v>
      </c>
    </row>
  </sheetData>
  <conditionalFormatting sqref="B37">
    <cfRule type="duplicateValues" dxfId="0" priority="1"/>
  </conditionalFormatting>
  <hyperlinks>
    <hyperlink ref="D36" r:id="rId1" xr:uid="{D1FBA7F0-9A3E-4AD1-98C4-460431712CB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088B-C287-47DD-BD8F-98050E916379}">
  <dimension ref="A1:P74"/>
  <sheetViews>
    <sheetView topLeftCell="B9" workbookViewId="0">
      <pane xSplit="1" topLeftCell="I1" activePane="topRight" state="frozen"/>
      <selection activeCell="B1" sqref="B1"/>
      <selection pane="topRight" activeCell="J44" sqref="J44"/>
    </sheetView>
  </sheetViews>
  <sheetFormatPr defaultRowHeight="15" x14ac:dyDescent="0.25"/>
  <cols>
    <col min="1" max="1" width="9.85546875" hidden="1" customWidth="1"/>
    <col min="2" max="2" width="39.28515625" bestFit="1" customWidth="1"/>
    <col min="3" max="3" width="11.7109375" bestFit="1" customWidth="1"/>
    <col min="4" max="4" width="17.140625" bestFit="1" customWidth="1"/>
    <col min="5" max="6" width="93.85546875" bestFit="1" customWidth="1"/>
    <col min="7" max="7" width="206.7109375" bestFit="1" customWidth="1"/>
    <col min="8" max="8" width="32.7109375" bestFit="1" customWidth="1"/>
    <col min="9" max="9" width="62.42578125" bestFit="1" customWidth="1"/>
    <col min="10" max="10" width="62.42578125" customWidth="1"/>
    <col min="11" max="11" width="254.42578125" bestFit="1" customWidth="1"/>
    <col min="12" max="12" width="32.7109375" bestFit="1" customWidth="1"/>
    <col min="13" max="13" width="53.140625" bestFit="1" customWidth="1"/>
    <col min="14" max="14" width="40.28515625" bestFit="1" customWidth="1"/>
    <col min="15" max="15" width="57.42578125" bestFit="1" customWidth="1"/>
    <col min="16" max="16" width="34.5703125" bestFit="1" customWidth="1"/>
  </cols>
  <sheetData>
    <row r="1" spans="1:16" x14ac:dyDescent="0.25">
      <c r="A1" t="s">
        <v>787</v>
      </c>
      <c r="B1" t="s">
        <v>788</v>
      </c>
      <c r="C1" t="s">
        <v>751</v>
      </c>
      <c r="D1" t="s">
        <v>1191</v>
      </c>
      <c r="E1" t="s">
        <v>1199</v>
      </c>
      <c r="F1" t="s">
        <v>1198</v>
      </c>
      <c r="G1" t="s">
        <v>1060</v>
      </c>
      <c r="H1" t="s">
        <v>789</v>
      </c>
      <c r="I1" t="s">
        <v>790</v>
      </c>
      <c r="J1" t="s">
        <v>1220</v>
      </c>
      <c r="K1" t="s">
        <v>791</v>
      </c>
      <c r="L1" t="s">
        <v>792</v>
      </c>
      <c r="M1" t="s">
        <v>1061</v>
      </c>
      <c r="N1" t="s">
        <v>1062</v>
      </c>
      <c r="O1" t="s">
        <v>1063</v>
      </c>
      <c r="P1" t="s">
        <v>793</v>
      </c>
    </row>
    <row r="2" spans="1:16" x14ac:dyDescent="0.25">
      <c r="A2" t="s">
        <v>653</v>
      </c>
      <c r="B2" t="s">
        <v>794</v>
      </c>
      <c r="C2" t="str">
        <f t="shared" ref="C2:C65" si="0">IF(ISNUMBER(FIND("(",B2)),MID(B2,FIND("(",B2)+1,FIND(")",B2)-FIND("(",B2)-1),"")</f>
        <v>RAN</v>
      </c>
      <c r="D2" t="s">
        <v>376</v>
      </c>
      <c r="E2" t="s">
        <v>797</v>
      </c>
      <c r="F2" t="str">
        <f t="shared" ref="F2:F33" si="1">IF(G2="","",TRIM(IF(ISNUMBER(FIND(";",G2)),LEFT(G2,FIND(";",G2)-1),G2)))</f>
        <v>jailer.restrepo@pmi.com</v>
      </c>
      <c r="G2" t="s">
        <v>1064</v>
      </c>
      <c r="H2" t="s">
        <v>796</v>
      </c>
      <c r="I2" t="s">
        <v>795</v>
      </c>
      <c r="J2" t="str">
        <f t="shared" ref="J2:J65" si="2">IF(K2="","",TRIM(_xlfn.LET(
        _xlpm.text,K2,
        _xlpm.startPos,IF(ISNUMBER(SEARCH("DEL =",_xlpm.text)),SEARCH("DEL =",_xlpm.text)+6,IF(ISNUMBER(SEARCH("=",_xlpm.text)),SEARCH("=",_xlpm.text)+2,1)),
        _xlpm.endPos,IFERROR(SEARCH(";",_xlpm.text,_xlpm.startPos),LEN(_xlpm.text)+1),
        MID(_xlpm.text,_xlpm.startPos,_xlpm.endPos-_xlpm.startPos)
    )))</f>
        <v>Laura.PerezMonge@pmi.com</v>
      </c>
      <c r="K2" t="s">
        <v>1065</v>
      </c>
      <c r="L2" t="s">
        <v>795</v>
      </c>
      <c r="M2" t="s">
        <v>1066</v>
      </c>
      <c r="N2" t="s">
        <v>797</v>
      </c>
      <c r="O2" t="s">
        <v>797</v>
      </c>
      <c r="P2" t="s">
        <v>798</v>
      </c>
    </row>
    <row r="3" spans="1:16" x14ac:dyDescent="0.25">
      <c r="A3" t="s">
        <v>653</v>
      </c>
      <c r="B3" t="s">
        <v>799</v>
      </c>
      <c r="C3" t="str">
        <f t="shared" si="0"/>
        <v>AM</v>
      </c>
      <c r="D3" t="s">
        <v>3</v>
      </c>
      <c r="E3" t="s">
        <v>802</v>
      </c>
      <c r="F3" t="str">
        <f t="shared" si="1"/>
        <v>Hamlet.Unusyan@pmi.com</v>
      </c>
      <c r="G3" t="s">
        <v>1067</v>
      </c>
      <c r="H3" t="s">
        <v>800</v>
      </c>
      <c r="I3" t="s">
        <v>800</v>
      </c>
      <c r="J3" t="str">
        <f t="shared" si="2"/>
        <v>Hamlet.Unusyan@pmi.com</v>
      </c>
      <c r="K3" t="s">
        <v>1068</v>
      </c>
      <c r="L3" t="s">
        <v>801</v>
      </c>
      <c r="M3" t="s">
        <v>802</v>
      </c>
      <c r="N3" t="s">
        <v>802</v>
      </c>
      <c r="O3" t="s">
        <v>802</v>
      </c>
      <c r="P3" t="s">
        <v>803</v>
      </c>
    </row>
    <row r="4" spans="1:16" x14ac:dyDescent="0.25">
      <c r="A4" t="s">
        <v>653</v>
      </c>
      <c r="B4" t="s">
        <v>720</v>
      </c>
      <c r="C4" t="str">
        <f t="shared" si="0"/>
        <v/>
      </c>
      <c r="D4" t="s">
        <v>1192</v>
      </c>
      <c r="E4" t="s">
        <v>1200</v>
      </c>
      <c r="F4" t="str">
        <f t="shared" si="1"/>
        <v>Cristina.Tsiambouris@pmi.com</v>
      </c>
      <c r="G4" t="s">
        <v>804</v>
      </c>
      <c r="J4" t="str">
        <f t="shared" si="2"/>
        <v/>
      </c>
      <c r="M4" t="s">
        <v>1069</v>
      </c>
      <c r="O4" t="s">
        <v>1070</v>
      </c>
    </row>
    <row r="5" spans="1:16" x14ac:dyDescent="0.25">
      <c r="A5" t="s">
        <v>653</v>
      </c>
      <c r="B5" t="s">
        <v>1071</v>
      </c>
      <c r="C5" t="str">
        <f t="shared" si="0"/>
        <v>AU</v>
      </c>
      <c r="D5" t="s">
        <v>6</v>
      </c>
      <c r="E5" t="s">
        <v>1201</v>
      </c>
      <c r="F5" t="str">
        <f t="shared" si="1"/>
        <v>Sobitha.Buthgamuwa@pmi.com</v>
      </c>
      <c r="G5" t="s">
        <v>1072</v>
      </c>
      <c r="H5" t="s">
        <v>806</v>
      </c>
      <c r="J5" t="str">
        <f t="shared" si="2"/>
        <v>Sobitha.Buthgamuwa@pmi.com</v>
      </c>
      <c r="K5" t="s">
        <v>1073</v>
      </c>
      <c r="L5" t="s">
        <v>805</v>
      </c>
      <c r="M5" t="s">
        <v>807</v>
      </c>
      <c r="N5" t="s">
        <v>808</v>
      </c>
      <c r="O5" t="s">
        <v>808</v>
      </c>
      <c r="P5" t="s">
        <v>809</v>
      </c>
    </row>
    <row r="6" spans="1:16" x14ac:dyDescent="0.25">
      <c r="A6" t="s">
        <v>653</v>
      </c>
      <c r="B6" t="s">
        <v>810</v>
      </c>
      <c r="C6" t="str">
        <f t="shared" si="0"/>
        <v>AT</v>
      </c>
      <c r="D6" t="s">
        <v>49</v>
      </c>
      <c r="E6" t="s">
        <v>813</v>
      </c>
      <c r="F6" t="str">
        <f t="shared" si="1"/>
        <v>Ankit.Rohatgi@pmi.com</v>
      </c>
      <c r="G6" t="s">
        <v>1074</v>
      </c>
      <c r="H6" t="s">
        <v>812</v>
      </c>
      <c r="I6" t="s">
        <v>813</v>
      </c>
      <c r="J6" t="str">
        <f t="shared" si="2"/>
        <v>Ankit.Rohatgi@pmi.com</v>
      </c>
      <c r="K6" t="s">
        <v>1075</v>
      </c>
      <c r="L6" t="s">
        <v>813</v>
      </c>
      <c r="M6" t="s">
        <v>812</v>
      </c>
      <c r="N6" t="s">
        <v>814</v>
      </c>
      <c r="O6" t="s">
        <v>811</v>
      </c>
      <c r="P6" t="s">
        <v>815</v>
      </c>
    </row>
    <row r="7" spans="1:16" x14ac:dyDescent="0.25">
      <c r="A7" t="s">
        <v>653</v>
      </c>
      <c r="B7" t="s">
        <v>816</v>
      </c>
      <c r="C7" t="str">
        <f t="shared" si="0"/>
        <v>AZ</v>
      </c>
      <c r="D7" t="s">
        <v>70</v>
      </c>
      <c r="E7" t="s">
        <v>802</v>
      </c>
      <c r="F7" t="str">
        <f t="shared" si="1"/>
        <v>Hamlet.Unusyan@pmi.com</v>
      </c>
      <c r="G7" t="s">
        <v>1067</v>
      </c>
      <c r="H7" t="s">
        <v>800</v>
      </c>
      <c r="I7" t="s">
        <v>800</v>
      </c>
      <c r="J7" t="str">
        <f t="shared" si="2"/>
        <v>Hamlet.Unusyan@pmi.com</v>
      </c>
      <c r="K7" t="s">
        <v>1068</v>
      </c>
      <c r="L7" t="s">
        <v>817</v>
      </c>
      <c r="M7" t="s">
        <v>802</v>
      </c>
      <c r="N7" t="s">
        <v>802</v>
      </c>
      <c r="O7" t="s">
        <v>802</v>
      </c>
      <c r="P7" t="s">
        <v>803</v>
      </c>
    </row>
    <row r="8" spans="1:16" x14ac:dyDescent="0.25">
      <c r="A8" t="s">
        <v>653</v>
      </c>
      <c r="B8" t="s">
        <v>818</v>
      </c>
      <c r="C8" t="str">
        <f t="shared" si="0"/>
        <v>CBLT</v>
      </c>
      <c r="D8" t="s">
        <v>649</v>
      </c>
      <c r="E8" t="s">
        <v>1202</v>
      </c>
      <c r="F8" t="str">
        <f t="shared" si="1"/>
        <v>monika.urbanaviciute@pmi.com</v>
      </c>
      <c r="G8" t="s">
        <v>1076</v>
      </c>
      <c r="I8" t="s">
        <v>819</v>
      </c>
      <c r="J8" t="str">
        <f t="shared" si="2"/>
        <v>Aliaksei.Karneyavets@pmi.com</v>
      </c>
      <c r="K8" t="s">
        <v>1077</v>
      </c>
      <c r="L8" t="s">
        <v>819</v>
      </c>
      <c r="M8" t="s">
        <v>819</v>
      </c>
      <c r="N8" t="s">
        <v>820</v>
      </c>
      <c r="O8" t="s">
        <v>820</v>
      </c>
      <c r="P8" t="s">
        <v>821</v>
      </c>
    </row>
    <row r="9" spans="1:16" x14ac:dyDescent="0.25">
      <c r="A9" t="s">
        <v>653</v>
      </c>
      <c r="B9" t="s">
        <v>822</v>
      </c>
      <c r="C9" t="str">
        <f t="shared" si="0"/>
        <v>CBNL</v>
      </c>
      <c r="D9" t="s">
        <v>586</v>
      </c>
      <c r="E9" t="s">
        <v>824</v>
      </c>
      <c r="F9" t="str">
        <f t="shared" si="1"/>
        <v>stefan.verschelden@pmi.com</v>
      </c>
      <c r="G9" t="s">
        <v>1078</v>
      </c>
      <c r="H9" t="s">
        <v>823</v>
      </c>
      <c r="J9" t="str">
        <f t="shared" si="2"/>
        <v>stefan.verschelden@pmi.com</v>
      </c>
      <c r="K9" t="s">
        <v>1079</v>
      </c>
      <c r="L9" t="s">
        <v>824</v>
      </c>
      <c r="M9" t="s">
        <v>825</v>
      </c>
      <c r="N9" t="s">
        <v>824</v>
      </c>
      <c r="O9" t="s">
        <v>824</v>
      </c>
      <c r="P9" t="s">
        <v>826</v>
      </c>
    </row>
    <row r="10" spans="1:16" x14ac:dyDescent="0.25">
      <c r="A10" t="s">
        <v>653</v>
      </c>
      <c r="B10" t="s">
        <v>827</v>
      </c>
      <c r="C10" t="str">
        <f t="shared" si="0"/>
        <v>BG</v>
      </c>
      <c r="D10" t="s">
        <v>8</v>
      </c>
      <c r="E10" t="s">
        <v>1203</v>
      </c>
      <c r="F10" t="str">
        <f t="shared" si="1"/>
        <v>Thanassis.Sagriotis@pmi.com</v>
      </c>
      <c r="G10" t="s">
        <v>1080</v>
      </c>
      <c r="H10" t="s">
        <v>829</v>
      </c>
      <c r="J10" t="str">
        <f t="shared" si="2"/>
        <v>Sabina.Rakova@pmi.com</v>
      </c>
      <c r="K10" t="s">
        <v>1081</v>
      </c>
      <c r="L10" t="s">
        <v>830</v>
      </c>
      <c r="M10" t="s">
        <v>831</v>
      </c>
      <c r="N10" t="s">
        <v>828</v>
      </c>
      <c r="O10" t="s">
        <v>1082</v>
      </c>
      <c r="P10" t="s">
        <v>832</v>
      </c>
    </row>
    <row r="11" spans="1:16" x14ac:dyDescent="0.25">
      <c r="A11" t="s">
        <v>653</v>
      </c>
      <c r="B11" t="s">
        <v>833</v>
      </c>
      <c r="C11" t="str">
        <f t="shared" si="0"/>
        <v>BR</v>
      </c>
      <c r="D11" t="s">
        <v>609</v>
      </c>
      <c r="E11" t="s">
        <v>837</v>
      </c>
      <c r="F11" t="str">
        <f t="shared" si="1"/>
        <v>jonas.cruz@pmi.com</v>
      </c>
      <c r="G11" t="s">
        <v>1083</v>
      </c>
      <c r="H11" t="s">
        <v>834</v>
      </c>
      <c r="I11" t="s">
        <v>835</v>
      </c>
      <c r="J11" t="str">
        <f t="shared" si="2"/>
        <v>jonas.cruz@pmi.com</v>
      </c>
      <c r="K11" t="s">
        <v>1084</v>
      </c>
      <c r="L11" t="s">
        <v>834</v>
      </c>
      <c r="M11" t="s">
        <v>836</v>
      </c>
      <c r="N11" t="s">
        <v>837</v>
      </c>
      <c r="O11" t="s">
        <v>837</v>
      </c>
      <c r="P11" t="s">
        <v>1085</v>
      </c>
    </row>
    <row r="12" spans="1:16" x14ac:dyDescent="0.25">
      <c r="A12" t="s">
        <v>653</v>
      </c>
      <c r="B12" t="s">
        <v>838</v>
      </c>
      <c r="C12" t="str">
        <f t="shared" si="0"/>
        <v>KH</v>
      </c>
      <c r="D12" t="s">
        <v>29</v>
      </c>
      <c r="E12" t="s">
        <v>840</v>
      </c>
      <c r="F12" t="str">
        <f t="shared" si="1"/>
        <v>MinhChuc.Ho@pmi.com</v>
      </c>
      <c r="G12" t="s">
        <v>1086</v>
      </c>
      <c r="J12" t="str">
        <f t="shared" si="2"/>
        <v/>
      </c>
      <c r="M12" t="s">
        <v>840</v>
      </c>
      <c r="N12" t="s">
        <v>840</v>
      </c>
      <c r="O12" t="s">
        <v>840</v>
      </c>
      <c r="P12" t="s">
        <v>841</v>
      </c>
    </row>
    <row r="13" spans="1:16" x14ac:dyDescent="0.25">
      <c r="A13" t="s">
        <v>653</v>
      </c>
      <c r="B13" t="s">
        <v>842</v>
      </c>
      <c r="C13" t="str">
        <f t="shared" si="0"/>
        <v>CA</v>
      </c>
      <c r="D13" t="s">
        <v>417</v>
      </c>
      <c r="E13" t="s">
        <v>845</v>
      </c>
      <c r="F13" t="str">
        <f t="shared" si="1"/>
        <v>joanne.estacion@rbhinc.ca</v>
      </c>
      <c r="G13" t="s">
        <v>1087</v>
      </c>
      <c r="H13" t="s">
        <v>843</v>
      </c>
      <c r="I13" t="s">
        <v>843</v>
      </c>
      <c r="J13" t="str">
        <f t="shared" si="2"/>
        <v>Preeti.Matkar@rbhinc.ca</v>
      </c>
      <c r="K13" t="s">
        <v>1088</v>
      </c>
      <c r="L13" t="s">
        <v>843</v>
      </c>
      <c r="M13" t="s">
        <v>844</v>
      </c>
      <c r="N13" t="s">
        <v>845</v>
      </c>
      <c r="O13" t="s">
        <v>845</v>
      </c>
      <c r="P13" t="s">
        <v>846</v>
      </c>
    </row>
    <row r="14" spans="1:16" x14ac:dyDescent="0.25">
      <c r="A14" t="s">
        <v>653</v>
      </c>
      <c r="B14" t="s">
        <v>847</v>
      </c>
      <c r="C14" t="str">
        <f t="shared" si="0"/>
        <v>CCAR</v>
      </c>
      <c r="D14" t="s">
        <v>688</v>
      </c>
      <c r="E14" t="s">
        <v>850</v>
      </c>
      <c r="F14" t="str">
        <f t="shared" si="1"/>
        <v>Daniel.Diaz@pmi.com</v>
      </c>
      <c r="G14" t="s">
        <v>848</v>
      </c>
      <c r="H14" t="s">
        <v>796</v>
      </c>
      <c r="I14" t="s">
        <v>795</v>
      </c>
      <c r="J14" t="str">
        <f t="shared" si="2"/>
        <v/>
      </c>
      <c r="M14" t="s">
        <v>849</v>
      </c>
      <c r="N14" t="s">
        <v>850</v>
      </c>
      <c r="O14" t="s">
        <v>850</v>
      </c>
      <c r="P14" t="s">
        <v>851</v>
      </c>
    </row>
    <row r="15" spans="1:16" x14ac:dyDescent="0.25">
      <c r="A15" t="s">
        <v>852</v>
      </c>
      <c r="B15" t="s">
        <v>853</v>
      </c>
      <c r="C15" t="str">
        <f t="shared" si="0"/>
        <v>COMM</v>
      </c>
      <c r="D15" t="s">
        <v>443</v>
      </c>
      <c r="E15" t="s">
        <v>855</v>
      </c>
      <c r="F15" t="str">
        <f t="shared" si="1"/>
        <v>dorde.rankovic@pmi.com</v>
      </c>
      <c r="G15" t="s">
        <v>1089</v>
      </c>
      <c r="J15" t="str">
        <f t="shared" si="2"/>
        <v>Saputra, Ricky Anders</v>
      </c>
      <c r="K15" t="s">
        <v>1090</v>
      </c>
      <c r="L15" t="s">
        <v>1091</v>
      </c>
    </row>
    <row r="16" spans="1:16" x14ac:dyDescent="0.25">
      <c r="A16" t="s">
        <v>852</v>
      </c>
      <c r="B16" t="s">
        <v>854</v>
      </c>
      <c r="C16" t="str">
        <f t="shared" si="0"/>
        <v>CONS</v>
      </c>
      <c r="D16" t="s">
        <v>444</v>
      </c>
      <c r="E16" t="s">
        <v>856</v>
      </c>
      <c r="F16" t="str">
        <f t="shared" si="1"/>
        <v>PaulusIndra.Salim@sampoerna.com</v>
      </c>
      <c r="G16" t="s">
        <v>1092</v>
      </c>
      <c r="J16" t="str">
        <f t="shared" si="2"/>
        <v>Salim, Paulus Indra</v>
      </c>
      <c r="K16" t="s">
        <v>1093</v>
      </c>
      <c r="L16" t="s">
        <v>1091</v>
      </c>
      <c r="M16" t="s">
        <v>1094</v>
      </c>
      <c r="N16" t="s">
        <v>856</v>
      </c>
      <c r="O16" t="s">
        <v>856</v>
      </c>
      <c r="P16" t="s">
        <v>857</v>
      </c>
    </row>
    <row r="17" spans="1:16" x14ac:dyDescent="0.25">
      <c r="A17" t="s">
        <v>852</v>
      </c>
      <c r="B17" t="s">
        <v>858</v>
      </c>
      <c r="C17" t="str">
        <f t="shared" si="0"/>
        <v>CORP</v>
      </c>
      <c r="D17" t="s">
        <v>570</v>
      </c>
      <c r="E17" s="5" t="s">
        <v>859</v>
      </c>
      <c r="F17" t="str">
        <f t="shared" si="1"/>
        <v>Bruna.Carvalho@pmi.com Teresa.Fernandes@pmi.com Przemyslaw.Dankiewicz@contracted.pmi.com</v>
      </c>
      <c r="G17" t="s">
        <v>1095</v>
      </c>
      <c r="J17" t="str">
        <f t="shared" si="2"/>
        <v>Fernandes, Teresa</v>
      </c>
      <c r="K17" t="s">
        <v>1096</v>
      </c>
      <c r="L17" t="s">
        <v>1091</v>
      </c>
      <c r="M17" t="s">
        <v>1094</v>
      </c>
      <c r="N17" t="s">
        <v>1097</v>
      </c>
      <c r="O17" t="s">
        <v>1097</v>
      </c>
      <c r="P17" t="s">
        <v>857</v>
      </c>
    </row>
    <row r="18" spans="1:16" x14ac:dyDescent="0.25">
      <c r="A18" t="s">
        <v>653</v>
      </c>
      <c r="B18" t="s">
        <v>860</v>
      </c>
      <c r="C18" t="str">
        <f t="shared" si="0"/>
        <v>CCSL</v>
      </c>
      <c r="D18" t="s">
        <v>634</v>
      </c>
      <c r="E18" t="s">
        <v>832</v>
      </c>
      <c r="F18" t="str">
        <f t="shared" si="1"/>
        <v>Stathis.Fasolis@pmi.com</v>
      </c>
      <c r="G18" t="s">
        <v>1098</v>
      </c>
      <c r="H18" t="s">
        <v>861</v>
      </c>
      <c r="I18" t="s">
        <v>862</v>
      </c>
      <c r="J18" t="str">
        <f t="shared" si="2"/>
        <v>Danijal.Morankic@pmi.com</v>
      </c>
      <c r="K18" t="s">
        <v>1099</v>
      </c>
      <c r="L18" t="s">
        <v>861</v>
      </c>
      <c r="M18" t="s">
        <v>863</v>
      </c>
      <c r="N18" t="s">
        <v>864</v>
      </c>
      <c r="O18" t="s">
        <v>864</v>
      </c>
      <c r="P18" t="s">
        <v>832</v>
      </c>
    </row>
    <row r="19" spans="1:16" x14ac:dyDescent="0.25">
      <c r="A19" t="s">
        <v>653</v>
      </c>
      <c r="B19" t="s">
        <v>865</v>
      </c>
      <c r="C19" t="str">
        <f t="shared" si="0"/>
        <v>CY</v>
      </c>
      <c r="D19" t="s">
        <v>12</v>
      </c>
      <c r="E19" t="s">
        <v>870</v>
      </c>
      <c r="F19" t="str">
        <f t="shared" si="1"/>
        <v>stathis.fasolis@pmi.com</v>
      </c>
      <c r="G19" t="s">
        <v>1100</v>
      </c>
      <c r="H19" t="s">
        <v>866</v>
      </c>
      <c r="I19" t="s">
        <v>867</v>
      </c>
      <c r="J19" t="str">
        <f t="shared" si="2"/>
        <v>Kyriaki.Hadjiossif@pmi.com</v>
      </c>
      <c r="K19" t="s">
        <v>1101</v>
      </c>
      <c r="L19" t="s">
        <v>866</v>
      </c>
      <c r="M19" t="s">
        <v>868</v>
      </c>
      <c r="N19" t="s">
        <v>869</v>
      </c>
      <c r="O19" t="s">
        <v>869</v>
      </c>
      <c r="P19" t="s">
        <v>870</v>
      </c>
    </row>
    <row r="20" spans="1:16" x14ac:dyDescent="0.25">
      <c r="A20" t="s">
        <v>653</v>
      </c>
      <c r="B20" t="s">
        <v>871</v>
      </c>
      <c r="C20" t="str">
        <f t="shared" si="0"/>
        <v>CZ</v>
      </c>
      <c r="D20" t="s">
        <v>1193</v>
      </c>
      <c r="E20" t="s">
        <v>1204</v>
      </c>
      <c r="F20" t="str">
        <f t="shared" si="1"/>
        <v>martin.snizek@pmi.com</v>
      </c>
      <c r="G20" t="s">
        <v>1102</v>
      </c>
      <c r="H20" t="s">
        <v>873</v>
      </c>
      <c r="J20" t="str">
        <f t="shared" si="2"/>
        <v>Adam.Cellar@pmi.com</v>
      </c>
      <c r="K20" t="s">
        <v>1103</v>
      </c>
      <c r="L20" t="s">
        <v>874</v>
      </c>
      <c r="M20" t="s">
        <v>875</v>
      </c>
      <c r="N20" t="s">
        <v>876</v>
      </c>
      <c r="O20" t="s">
        <v>872</v>
      </c>
      <c r="P20" t="s">
        <v>877</v>
      </c>
    </row>
    <row r="21" spans="1:16" x14ac:dyDescent="0.25">
      <c r="A21" t="s">
        <v>852</v>
      </c>
      <c r="B21" t="s">
        <v>878</v>
      </c>
      <c r="C21" t="str">
        <f t="shared" si="0"/>
        <v>FDF</v>
      </c>
      <c r="D21" t="s">
        <v>334</v>
      </c>
      <c r="E21" t="s">
        <v>882</v>
      </c>
      <c r="F21" t="str">
        <f t="shared" si="1"/>
        <v>andre.elkhoury@pmi.com</v>
      </c>
      <c r="G21" t="s">
        <v>1104</v>
      </c>
      <c r="H21" t="s">
        <v>879</v>
      </c>
      <c r="I21" t="s">
        <v>823</v>
      </c>
      <c r="J21" t="str">
        <f t="shared" si="2"/>
        <v>Andre.ElKhoury@pmi.com</v>
      </c>
      <c r="K21" t="s">
        <v>1105</v>
      </c>
      <c r="L21" t="s">
        <v>880</v>
      </c>
      <c r="M21" t="s">
        <v>881</v>
      </c>
      <c r="N21" t="s">
        <v>882</v>
      </c>
      <c r="O21" t="s">
        <v>882</v>
      </c>
      <c r="P21" t="s">
        <v>882</v>
      </c>
    </row>
    <row r="22" spans="1:16" x14ac:dyDescent="0.25">
      <c r="A22" t="s">
        <v>883</v>
      </c>
      <c r="B22" t="s">
        <v>1106</v>
      </c>
      <c r="C22" t="str">
        <f t="shared" si="0"/>
        <v>FEA</v>
      </c>
      <c r="D22" t="s">
        <v>344</v>
      </c>
      <c r="E22" t="s">
        <v>884</v>
      </c>
      <c r="F22" t="str">
        <f t="shared" si="1"/>
        <v>Kamil.Trzepizur@pmi.com</v>
      </c>
      <c r="G22" t="s">
        <v>1107</v>
      </c>
      <c r="J22" t="str">
        <f t="shared" si="2"/>
        <v>Kamil.Trzepizur@pmi.com</v>
      </c>
      <c r="K22" t="s">
        <v>884</v>
      </c>
      <c r="L22" t="s">
        <v>857</v>
      </c>
      <c r="M22" t="s">
        <v>222</v>
      </c>
      <c r="N22" t="s">
        <v>222</v>
      </c>
      <c r="O22" t="s">
        <v>222</v>
      </c>
      <c r="P22" t="s">
        <v>857</v>
      </c>
    </row>
    <row r="23" spans="1:16" x14ac:dyDescent="0.25">
      <c r="A23" t="s">
        <v>653</v>
      </c>
      <c r="B23" t="s">
        <v>885</v>
      </c>
      <c r="C23" t="str">
        <f t="shared" si="0"/>
        <v>EG</v>
      </c>
      <c r="D23" t="s">
        <v>198</v>
      </c>
      <c r="E23" t="s">
        <v>890</v>
      </c>
      <c r="F23" t="str">
        <f t="shared" si="1"/>
        <v>Mohammed.Abdelfattah@pmi.com</v>
      </c>
      <c r="G23" t="s">
        <v>1108</v>
      </c>
      <c r="H23" t="s">
        <v>888</v>
      </c>
      <c r="I23" t="s">
        <v>889</v>
      </c>
      <c r="J23" t="str">
        <f t="shared" si="2"/>
        <v>Mohammed.Abdelfattah@pmi.com</v>
      </c>
      <c r="K23" t="s">
        <v>1109</v>
      </c>
      <c r="L23" t="s">
        <v>889</v>
      </c>
      <c r="M23" t="s">
        <v>887</v>
      </c>
      <c r="N23" t="s">
        <v>890</v>
      </c>
      <c r="O23" t="s">
        <v>890</v>
      </c>
      <c r="P23" t="s">
        <v>891</v>
      </c>
    </row>
    <row r="24" spans="1:16" x14ac:dyDescent="0.25">
      <c r="A24" t="s">
        <v>451</v>
      </c>
      <c r="B24" t="s">
        <v>892</v>
      </c>
      <c r="C24" t="str">
        <f t="shared" si="0"/>
        <v>FAD</v>
      </c>
      <c r="D24" t="s">
        <v>446</v>
      </c>
      <c r="E24" t="s">
        <v>893</v>
      </c>
      <c r="F24" t="str">
        <f t="shared" si="1"/>
        <v>Catarina.Oliveira@pmi.com</v>
      </c>
      <c r="G24" t="s">
        <v>1110</v>
      </c>
      <c r="J24" t="str">
        <f t="shared" si="2"/>
        <v/>
      </c>
      <c r="M24" t="s">
        <v>893</v>
      </c>
      <c r="N24" t="s">
        <v>893</v>
      </c>
      <c r="O24" t="s">
        <v>894</v>
      </c>
      <c r="P24" t="s">
        <v>893</v>
      </c>
    </row>
    <row r="25" spans="1:16" x14ac:dyDescent="0.25">
      <c r="A25" t="s">
        <v>852</v>
      </c>
      <c r="B25" t="s">
        <v>895</v>
      </c>
      <c r="C25" t="str">
        <f t="shared" si="0"/>
        <v>FINC</v>
      </c>
      <c r="D25" t="s">
        <v>480</v>
      </c>
      <c r="E25" s="5" t="s">
        <v>859</v>
      </c>
      <c r="F25" t="str">
        <f t="shared" si="1"/>
        <v>Bruna.Carvalho@pmi.com Teresa.Fernandes@pmi.com Przemyslaw.Dankiewicz@contracted.pmi.com</v>
      </c>
      <c r="G25" t="s">
        <v>1095</v>
      </c>
      <c r="J25" t="str">
        <f t="shared" si="2"/>
        <v>Fernandes, Teresa</v>
      </c>
      <c r="K25" t="s">
        <v>1096</v>
      </c>
      <c r="L25" t="s">
        <v>1091</v>
      </c>
      <c r="M25" t="s">
        <v>1094</v>
      </c>
      <c r="N25" t="s">
        <v>896</v>
      </c>
      <c r="O25" t="s">
        <v>1097</v>
      </c>
      <c r="P25" t="s">
        <v>857</v>
      </c>
    </row>
    <row r="26" spans="1:16" x14ac:dyDescent="0.25">
      <c r="A26" t="s">
        <v>653</v>
      </c>
      <c r="B26" t="s">
        <v>897</v>
      </c>
      <c r="C26" t="str">
        <f t="shared" si="0"/>
        <v>FR</v>
      </c>
      <c r="D26" t="s">
        <v>76</v>
      </c>
      <c r="E26" t="s">
        <v>1205</v>
      </c>
      <c r="F26" t="str">
        <f t="shared" si="1"/>
        <v>Marwa.Kouriat@pmi.com</v>
      </c>
      <c r="G26" t="s">
        <v>1111</v>
      </c>
      <c r="H26" t="s">
        <v>898</v>
      </c>
      <c r="J26" t="str">
        <f t="shared" si="2"/>
        <v>Xavier.Lachat@pmi.com</v>
      </c>
      <c r="K26" t="s">
        <v>1112</v>
      </c>
    </row>
    <row r="27" spans="1:16" x14ac:dyDescent="0.25">
      <c r="A27" t="s">
        <v>883</v>
      </c>
      <c r="B27" t="s">
        <v>899</v>
      </c>
      <c r="C27" t="str">
        <f t="shared" si="0"/>
        <v>FCD</v>
      </c>
      <c r="D27" t="s">
        <v>472</v>
      </c>
      <c r="E27" t="s">
        <v>884</v>
      </c>
      <c r="F27" t="str">
        <f t="shared" si="1"/>
        <v>Kamil.Trzepizur@pmi.com</v>
      </c>
      <c r="G27" t="s">
        <v>1107</v>
      </c>
      <c r="J27" t="str">
        <f t="shared" si="2"/>
        <v>Kamil.Trzepizur@pmi.com</v>
      </c>
      <c r="K27" t="s">
        <v>884</v>
      </c>
      <c r="L27" t="s">
        <v>1091</v>
      </c>
      <c r="M27" t="s">
        <v>900</v>
      </c>
      <c r="N27" t="s">
        <v>900</v>
      </c>
      <c r="O27" t="s">
        <v>901</v>
      </c>
      <c r="P27" t="s">
        <v>857</v>
      </c>
    </row>
    <row r="28" spans="1:16" x14ac:dyDescent="0.25">
      <c r="A28" t="s">
        <v>883</v>
      </c>
      <c r="B28" t="s">
        <v>902</v>
      </c>
      <c r="C28" t="str">
        <f t="shared" si="0"/>
        <v>FCT</v>
      </c>
      <c r="D28" t="s">
        <v>464</v>
      </c>
      <c r="E28" t="s">
        <v>884</v>
      </c>
      <c r="F28" t="str">
        <f t="shared" si="1"/>
        <v>Kamil.Trzepizur@pmi.com</v>
      </c>
      <c r="G28" t="s">
        <v>1107</v>
      </c>
      <c r="J28" t="str">
        <f t="shared" si="2"/>
        <v>Kamil.Trzepizur@pmi.com</v>
      </c>
      <c r="K28" t="s">
        <v>884</v>
      </c>
      <c r="L28" t="s">
        <v>1091</v>
      </c>
      <c r="M28" t="s">
        <v>900</v>
      </c>
      <c r="N28" t="s">
        <v>900</v>
      </c>
      <c r="O28" t="s">
        <v>901</v>
      </c>
      <c r="P28" t="s">
        <v>857</v>
      </c>
    </row>
    <row r="29" spans="1:16" x14ac:dyDescent="0.25">
      <c r="A29" t="s">
        <v>653</v>
      </c>
      <c r="B29" t="s">
        <v>903</v>
      </c>
      <c r="C29" t="str">
        <f t="shared" si="0"/>
        <v>GE</v>
      </c>
      <c r="D29" t="s">
        <v>17</v>
      </c>
      <c r="E29" t="s">
        <v>802</v>
      </c>
      <c r="F29" t="str">
        <f t="shared" si="1"/>
        <v>Hamlet.Unusyan@pmi.com</v>
      </c>
      <c r="G29" t="s">
        <v>1113</v>
      </c>
      <c r="H29" t="s">
        <v>800</v>
      </c>
      <c r="I29" t="s">
        <v>800</v>
      </c>
      <c r="J29" t="str">
        <f t="shared" si="2"/>
        <v>Hamlet.Unusyan@pmi.com</v>
      </c>
      <c r="K29" t="s">
        <v>1068</v>
      </c>
      <c r="L29" t="s">
        <v>904</v>
      </c>
      <c r="M29" t="s">
        <v>802</v>
      </c>
      <c r="N29" t="s">
        <v>802</v>
      </c>
      <c r="O29" t="s">
        <v>802</v>
      </c>
      <c r="P29" t="s">
        <v>803</v>
      </c>
    </row>
    <row r="30" spans="1:16" x14ac:dyDescent="0.25">
      <c r="A30" t="s">
        <v>653</v>
      </c>
      <c r="B30" t="s">
        <v>1114</v>
      </c>
      <c r="C30" t="str">
        <f t="shared" si="0"/>
        <v>DE</v>
      </c>
      <c r="D30" t="s">
        <v>75</v>
      </c>
      <c r="E30" t="s">
        <v>908</v>
      </c>
      <c r="F30" t="str">
        <f t="shared" si="1"/>
        <v>michael.koeniger@pmi.com</v>
      </c>
      <c r="G30" t="s">
        <v>1115</v>
      </c>
      <c r="H30" t="s">
        <v>905</v>
      </c>
      <c r="I30" t="s">
        <v>906</v>
      </c>
      <c r="J30" t="str">
        <f t="shared" si="2"/>
        <v>Michael.Koeniger@pmi.com</v>
      </c>
      <c r="K30" t="s">
        <v>1116</v>
      </c>
      <c r="L30" t="s">
        <v>907</v>
      </c>
      <c r="M30" t="s">
        <v>908</v>
      </c>
      <c r="N30" t="s">
        <v>908</v>
      </c>
      <c r="O30" t="s">
        <v>908</v>
      </c>
      <c r="P30" t="s">
        <v>815</v>
      </c>
    </row>
    <row r="31" spans="1:16" x14ac:dyDescent="0.25">
      <c r="A31" t="s">
        <v>852</v>
      </c>
      <c r="B31" t="s">
        <v>599</v>
      </c>
      <c r="C31" t="str">
        <f t="shared" si="0"/>
        <v/>
      </c>
      <c r="D31" t="s">
        <v>1192</v>
      </c>
      <c r="E31" t="s">
        <v>1206</v>
      </c>
      <c r="F31" t="str">
        <f t="shared" si="1"/>
        <v>ewa.kloc-kulesza@pmi.com</v>
      </c>
      <c r="G31" t="s">
        <v>1117</v>
      </c>
      <c r="J31" t="str">
        <f t="shared" si="2"/>
        <v>Kloc-Kulesza, Ewa</v>
      </c>
      <c r="K31" t="s">
        <v>1118</v>
      </c>
      <c r="L31" t="s">
        <v>1091</v>
      </c>
      <c r="M31" t="s">
        <v>1094</v>
      </c>
      <c r="N31" t="s">
        <v>1119</v>
      </c>
      <c r="O31" t="s">
        <v>1119</v>
      </c>
      <c r="P31" t="s">
        <v>909</v>
      </c>
    </row>
    <row r="32" spans="1:16" x14ac:dyDescent="0.25">
      <c r="A32" t="s">
        <v>653</v>
      </c>
      <c r="B32" t="s">
        <v>910</v>
      </c>
      <c r="C32" t="str">
        <f t="shared" si="0"/>
        <v>GR</v>
      </c>
      <c r="D32" t="s">
        <v>19</v>
      </c>
      <c r="E32" t="s">
        <v>866</v>
      </c>
      <c r="F32" t="str">
        <f t="shared" si="1"/>
        <v>Vasileios.Botopoulos@pmi.com</v>
      </c>
      <c r="G32" t="s">
        <v>1120</v>
      </c>
      <c r="H32" t="s">
        <v>911</v>
      </c>
      <c r="I32" t="s">
        <v>867</v>
      </c>
      <c r="J32" t="str">
        <f t="shared" si="2"/>
        <v>Manos.Mitsis@pmi.com</v>
      </c>
      <c r="K32" t="s">
        <v>1121</v>
      </c>
      <c r="L32" t="s">
        <v>912</v>
      </c>
      <c r="M32" t="s">
        <v>866</v>
      </c>
      <c r="N32" t="s">
        <v>832</v>
      </c>
      <c r="O32" t="s">
        <v>869</v>
      </c>
      <c r="P32" t="s">
        <v>832</v>
      </c>
    </row>
    <row r="33" spans="1:16" x14ac:dyDescent="0.25">
      <c r="A33" t="s">
        <v>852</v>
      </c>
      <c r="B33" t="s">
        <v>913</v>
      </c>
      <c r="C33" t="str">
        <f t="shared" si="0"/>
        <v>IQAR</v>
      </c>
      <c r="D33" t="s">
        <v>1194</v>
      </c>
      <c r="E33" t="s">
        <v>1207</v>
      </c>
      <c r="F33" t="str">
        <f t="shared" si="1"/>
        <v>leonardo.verrastro@pmi.com</v>
      </c>
      <c r="G33" t="s">
        <v>1122</v>
      </c>
      <c r="J33" t="str">
        <f t="shared" si="2"/>
        <v/>
      </c>
      <c r="N33" t="s">
        <v>914</v>
      </c>
      <c r="O33" t="s">
        <v>915</v>
      </c>
      <c r="P33" t="s">
        <v>916</v>
      </c>
    </row>
    <row r="34" spans="1:16" x14ac:dyDescent="0.25">
      <c r="A34" t="s">
        <v>653</v>
      </c>
      <c r="B34" t="s">
        <v>1123</v>
      </c>
      <c r="C34" t="str">
        <f t="shared" si="0"/>
        <v>IN</v>
      </c>
      <c r="D34" t="s">
        <v>256</v>
      </c>
      <c r="E34" t="s">
        <v>841</v>
      </c>
      <c r="F34" t="str">
        <f t="shared" ref="F34:F65" si="3">IF(G34="","",TRIM(IF(ISNUMBER(FIND(";",G34)),LEFT(G34,FIND(";",G34)-1),G34)))</f>
        <v>CharlesCedric.Tanedo@pmi.com</v>
      </c>
      <c r="G34" t="s">
        <v>839</v>
      </c>
      <c r="H34" t="s">
        <v>917</v>
      </c>
      <c r="J34" t="str">
        <f t="shared" si="2"/>
        <v/>
      </c>
      <c r="M34" t="s">
        <v>841</v>
      </c>
      <c r="N34" t="s">
        <v>918</v>
      </c>
      <c r="O34" t="s">
        <v>918</v>
      </c>
      <c r="P34" t="s">
        <v>918</v>
      </c>
    </row>
    <row r="35" spans="1:16" x14ac:dyDescent="0.25">
      <c r="A35" t="s">
        <v>653</v>
      </c>
      <c r="B35" t="s">
        <v>919</v>
      </c>
      <c r="C35" t="str">
        <f t="shared" si="0"/>
        <v>ID</v>
      </c>
      <c r="D35" t="s">
        <v>69</v>
      </c>
      <c r="E35" s="5" t="s">
        <v>920</v>
      </c>
      <c r="F35" t="str">
        <f t="shared" si="3"/>
        <v>Ivana.Octavia@sampoerna.com ingrid.wijaya@sampoerna.com</v>
      </c>
      <c r="G35" t="s">
        <v>1124</v>
      </c>
      <c r="H35" t="s">
        <v>921</v>
      </c>
      <c r="I35" t="s">
        <v>922</v>
      </c>
      <c r="J35" t="str">
        <f t="shared" si="2"/>
        <v>Ingrid.Wijaya@sampoerna.com</v>
      </c>
      <c r="K35" t="s">
        <v>1125</v>
      </c>
      <c r="L35" t="s">
        <v>921</v>
      </c>
      <c r="M35" t="s">
        <v>923</v>
      </c>
      <c r="N35" t="s">
        <v>923</v>
      </c>
      <c r="O35" t="s">
        <v>923</v>
      </c>
      <c r="P35" t="s">
        <v>924</v>
      </c>
    </row>
    <row r="36" spans="1:16" x14ac:dyDescent="0.25">
      <c r="A36" t="s">
        <v>653</v>
      </c>
      <c r="B36" t="s">
        <v>925</v>
      </c>
      <c r="C36" t="str">
        <f t="shared" si="0"/>
        <v>IL</v>
      </c>
      <c r="D36" t="s">
        <v>25</v>
      </c>
      <c r="E36" t="s">
        <v>802</v>
      </c>
      <c r="F36" t="str">
        <f t="shared" si="3"/>
        <v>Hamlet.Unusyan@pmi.com</v>
      </c>
      <c r="G36" t="s">
        <v>1126</v>
      </c>
      <c r="H36" t="s">
        <v>926</v>
      </c>
      <c r="I36" t="s">
        <v>800</v>
      </c>
      <c r="J36" t="str">
        <f t="shared" si="2"/>
        <v>Hamlet.Unusyan@pmi.com</v>
      </c>
      <c r="K36" t="s">
        <v>1068</v>
      </c>
      <c r="M36" t="s">
        <v>802</v>
      </c>
      <c r="N36" t="s">
        <v>802</v>
      </c>
      <c r="O36" t="s">
        <v>802</v>
      </c>
      <c r="P36" t="s">
        <v>803</v>
      </c>
    </row>
    <row r="37" spans="1:16" x14ac:dyDescent="0.25">
      <c r="A37" t="s">
        <v>653</v>
      </c>
      <c r="B37" t="s">
        <v>927</v>
      </c>
      <c r="C37" t="str">
        <f t="shared" si="0"/>
        <v>IT</v>
      </c>
      <c r="D37" t="s">
        <v>384</v>
      </c>
      <c r="E37" s="5" t="s">
        <v>928</v>
      </c>
      <c r="F37" t="str">
        <f t="shared" si="3"/>
        <v>Andrea.Guarnieri@pmi.com Nicola.Fogolin@pmi.com</v>
      </c>
      <c r="G37" t="s">
        <v>1127</v>
      </c>
      <c r="H37" t="s">
        <v>929</v>
      </c>
      <c r="I37" t="s">
        <v>928</v>
      </c>
      <c r="J37" t="str">
        <f t="shared" si="2"/>
        <v>Andrea.Guarnieri@pmi.com</v>
      </c>
      <c r="K37" t="s">
        <v>1128</v>
      </c>
      <c r="L37" t="s">
        <v>928</v>
      </c>
      <c r="M37" t="s">
        <v>930</v>
      </c>
      <c r="N37" t="s">
        <v>930</v>
      </c>
      <c r="O37" t="s">
        <v>930</v>
      </c>
      <c r="P37" t="s">
        <v>931</v>
      </c>
    </row>
    <row r="38" spans="1:16" x14ac:dyDescent="0.25">
      <c r="A38" t="s">
        <v>852</v>
      </c>
      <c r="B38" t="s">
        <v>932</v>
      </c>
      <c r="C38" t="str">
        <f t="shared" si="0"/>
        <v>INSC</v>
      </c>
      <c r="D38" t="s">
        <v>497</v>
      </c>
      <c r="E38" t="s">
        <v>859</v>
      </c>
      <c r="F38" t="str">
        <f t="shared" si="3"/>
        <v>Bruna.Carvalho@pmi.com</v>
      </c>
      <c r="G38" t="s">
        <v>1129</v>
      </c>
      <c r="J38" t="str">
        <f t="shared" si="2"/>
        <v>Fernandes, Teresa</v>
      </c>
      <c r="K38" t="s">
        <v>1096</v>
      </c>
      <c r="L38" t="s">
        <v>1091</v>
      </c>
      <c r="M38" t="s">
        <v>1094</v>
      </c>
      <c r="N38" t="s">
        <v>933</v>
      </c>
      <c r="O38" t="s">
        <v>934</v>
      </c>
      <c r="P38" t="s">
        <v>909</v>
      </c>
    </row>
    <row r="39" spans="1:16" x14ac:dyDescent="0.25">
      <c r="A39" t="s">
        <v>852</v>
      </c>
      <c r="B39" t="s">
        <v>935</v>
      </c>
      <c r="C39" t="str">
        <f t="shared" si="0"/>
        <v>ITMG</v>
      </c>
      <c r="D39" t="s">
        <v>513</v>
      </c>
      <c r="E39" s="5" t="s">
        <v>859</v>
      </c>
      <c r="F39" t="str">
        <f t="shared" si="3"/>
        <v>Bruna.Carvalho@pmi.com Teresa.Fernandes@pmi.com Przemyslaw.Dankiewicz@contracted.pmi.com</v>
      </c>
      <c r="G39" t="s">
        <v>1095</v>
      </c>
      <c r="J39" t="str">
        <f t="shared" si="2"/>
        <v>Fernandes, Teresa</v>
      </c>
      <c r="K39" t="s">
        <v>1096</v>
      </c>
      <c r="L39" t="s">
        <v>1091</v>
      </c>
      <c r="M39" t="s">
        <v>1094</v>
      </c>
      <c r="N39" t="s">
        <v>936</v>
      </c>
      <c r="O39" t="s">
        <v>936</v>
      </c>
      <c r="P39" t="s">
        <v>909</v>
      </c>
    </row>
    <row r="40" spans="1:16" x14ac:dyDescent="0.25">
      <c r="A40" t="s">
        <v>653</v>
      </c>
      <c r="B40" t="s">
        <v>86</v>
      </c>
      <c r="C40" t="str">
        <f t="shared" si="0"/>
        <v/>
      </c>
      <c r="D40" t="s">
        <v>1192</v>
      </c>
      <c r="E40" t="s">
        <v>941</v>
      </c>
      <c r="F40" t="str">
        <f t="shared" si="3"/>
        <v>Samatha.Arishetty@pmi.com</v>
      </c>
      <c r="G40" t="s">
        <v>1130</v>
      </c>
      <c r="H40" t="s">
        <v>938</v>
      </c>
      <c r="I40" t="s">
        <v>939</v>
      </c>
      <c r="J40" t="str">
        <f t="shared" si="2"/>
        <v>Danny.Chang@pmi.com</v>
      </c>
      <c r="K40" t="s">
        <v>1131</v>
      </c>
      <c r="L40" t="s">
        <v>937</v>
      </c>
      <c r="M40" t="s">
        <v>940</v>
      </c>
      <c r="N40" t="s">
        <v>941</v>
      </c>
      <c r="O40" t="s">
        <v>941</v>
      </c>
      <c r="P40" t="s">
        <v>809</v>
      </c>
    </row>
    <row r="41" spans="1:16" x14ac:dyDescent="0.25">
      <c r="A41" t="s">
        <v>653</v>
      </c>
      <c r="B41" t="s">
        <v>942</v>
      </c>
      <c r="C41" t="str">
        <f t="shared" si="0"/>
        <v>KZ</v>
      </c>
      <c r="D41" t="s">
        <v>33</v>
      </c>
      <c r="E41" t="s">
        <v>944</v>
      </c>
      <c r="F41" t="str">
        <f t="shared" si="3"/>
        <v>Asem.Zhiketova@pmi.com</v>
      </c>
      <c r="G41" t="s">
        <v>1132</v>
      </c>
      <c r="I41" t="s">
        <v>800</v>
      </c>
      <c r="J41" t="str">
        <f t="shared" si="2"/>
        <v/>
      </c>
      <c r="M41" t="s">
        <v>943</v>
      </c>
      <c r="N41" t="s">
        <v>944</v>
      </c>
      <c r="O41" t="s">
        <v>945</v>
      </c>
      <c r="P41" t="s">
        <v>946</v>
      </c>
    </row>
    <row r="42" spans="1:16" x14ac:dyDescent="0.25">
      <c r="A42" t="s">
        <v>653</v>
      </c>
      <c r="B42" t="s">
        <v>947</v>
      </c>
      <c r="C42" t="str">
        <f t="shared" si="0"/>
        <v>KR</v>
      </c>
      <c r="D42" t="s">
        <v>31</v>
      </c>
      <c r="E42" t="s">
        <v>1208</v>
      </c>
      <c r="F42" t="str">
        <f t="shared" si="3"/>
        <v>Michael.Kim@pmi.com</v>
      </c>
      <c r="G42" t="s">
        <v>1133</v>
      </c>
      <c r="H42" t="s">
        <v>938</v>
      </c>
      <c r="I42" t="s">
        <v>949</v>
      </c>
      <c r="J42" t="str">
        <f t="shared" si="2"/>
        <v/>
      </c>
      <c r="M42" t="s">
        <v>1134</v>
      </c>
      <c r="N42" t="s">
        <v>948</v>
      </c>
      <c r="O42" t="s">
        <v>948</v>
      </c>
      <c r="P42" t="s">
        <v>950</v>
      </c>
    </row>
    <row r="43" spans="1:16" x14ac:dyDescent="0.25">
      <c r="A43" t="s">
        <v>653</v>
      </c>
      <c r="B43" t="s">
        <v>1135</v>
      </c>
      <c r="C43" t="str">
        <f t="shared" si="0"/>
        <v>LV</v>
      </c>
      <c r="D43" t="s">
        <v>39</v>
      </c>
      <c r="E43" t="s">
        <v>952</v>
      </c>
      <c r="F43" t="str">
        <f t="shared" si="3"/>
        <v>Jelena.Mirzojeva@pmi.com</v>
      </c>
      <c r="G43" t="s">
        <v>1136</v>
      </c>
      <c r="H43" t="s">
        <v>996</v>
      </c>
      <c r="I43" t="s">
        <v>819</v>
      </c>
      <c r="J43" t="str">
        <f t="shared" si="2"/>
        <v/>
      </c>
      <c r="M43" t="s">
        <v>951</v>
      </c>
      <c r="N43" t="s">
        <v>951</v>
      </c>
      <c r="O43" t="s">
        <v>952</v>
      </c>
      <c r="P43" t="s">
        <v>821</v>
      </c>
    </row>
    <row r="44" spans="1:16" x14ac:dyDescent="0.25">
      <c r="A44" t="s">
        <v>852</v>
      </c>
      <c r="B44" t="s">
        <v>953</v>
      </c>
      <c r="C44" t="str">
        <f t="shared" si="0"/>
        <v>LFSC</v>
      </c>
      <c r="D44" t="s">
        <v>521</v>
      </c>
      <c r="E44" t="s">
        <v>857</v>
      </c>
      <c r="F44" t="str">
        <f t="shared" si="3"/>
        <v>Bjoern.Seifert@pmi.com</v>
      </c>
      <c r="G44" t="s">
        <v>1137</v>
      </c>
      <c r="J44" t="str">
        <f t="shared" si="2"/>
        <v>Castillo, Carlos E.</v>
      </c>
      <c r="K44" t="s">
        <v>1138</v>
      </c>
      <c r="L44" t="s">
        <v>1091</v>
      </c>
      <c r="M44" t="s">
        <v>1094</v>
      </c>
      <c r="N44" t="s">
        <v>1070</v>
      </c>
      <c r="O44" t="s">
        <v>1070</v>
      </c>
      <c r="P44" t="s">
        <v>1091</v>
      </c>
    </row>
    <row r="45" spans="1:16" x14ac:dyDescent="0.25">
      <c r="A45" t="s">
        <v>543</v>
      </c>
      <c r="B45" t="s">
        <v>954</v>
      </c>
      <c r="C45" t="str">
        <f t="shared" si="0"/>
        <v>MY</v>
      </c>
      <c r="D45" t="s">
        <v>1195</v>
      </c>
      <c r="E45" t="s">
        <v>1201</v>
      </c>
      <c r="F45" t="str">
        <f t="shared" si="3"/>
        <v>Sobitha.Buthgamuwa@pmi.com</v>
      </c>
      <c r="G45" t="s">
        <v>1139</v>
      </c>
      <c r="H45" t="s">
        <v>955</v>
      </c>
      <c r="J45" t="str">
        <f t="shared" si="2"/>
        <v>CuiYin.Fong@pmi.com</v>
      </c>
      <c r="K45" t="s">
        <v>1140</v>
      </c>
      <c r="L45" t="s">
        <v>955</v>
      </c>
      <c r="M45" t="s">
        <v>807</v>
      </c>
      <c r="N45" t="s">
        <v>956</v>
      </c>
      <c r="O45" t="s">
        <v>956</v>
      </c>
      <c r="P45" t="s">
        <v>809</v>
      </c>
    </row>
    <row r="46" spans="1:16" x14ac:dyDescent="0.25">
      <c r="A46" t="s">
        <v>852</v>
      </c>
      <c r="B46" t="s">
        <v>957</v>
      </c>
      <c r="C46" t="str">
        <f t="shared" si="0"/>
        <v>MNFG</v>
      </c>
      <c r="D46" t="s">
        <v>696</v>
      </c>
      <c r="E46" t="s">
        <v>1206</v>
      </c>
      <c r="F46" t="str">
        <f t="shared" si="3"/>
        <v>ewa.kloc-kulesza@pmi.com</v>
      </c>
      <c r="G46" t="s">
        <v>1117</v>
      </c>
      <c r="J46" t="str">
        <f t="shared" si="2"/>
        <v>Kloc-Kulesza, Ewa</v>
      </c>
      <c r="K46" t="s">
        <v>1118</v>
      </c>
      <c r="L46" t="s">
        <v>1091</v>
      </c>
      <c r="M46" t="s">
        <v>1094</v>
      </c>
      <c r="N46" t="s">
        <v>1141</v>
      </c>
      <c r="O46" t="s">
        <v>1141</v>
      </c>
      <c r="P46" t="s">
        <v>1091</v>
      </c>
    </row>
    <row r="47" spans="1:16" x14ac:dyDescent="0.25">
      <c r="A47" t="s">
        <v>653</v>
      </c>
      <c r="B47" t="s">
        <v>958</v>
      </c>
      <c r="C47" t="str">
        <f t="shared" si="0"/>
        <v>CME</v>
      </c>
      <c r="D47" t="s">
        <v>548</v>
      </c>
      <c r="E47" t="s">
        <v>1209</v>
      </c>
      <c r="F47" t="str">
        <f t="shared" si="3"/>
        <v>Ayushi.Jain@contracted.pmi.com</v>
      </c>
      <c r="G47" t="s">
        <v>1142</v>
      </c>
      <c r="H47" t="s">
        <v>888</v>
      </c>
      <c r="I47" t="s">
        <v>959</v>
      </c>
      <c r="J47" t="str">
        <f t="shared" si="2"/>
        <v>Levent.Asici@pmi.com</v>
      </c>
      <c r="K47" t="s">
        <v>1143</v>
      </c>
      <c r="L47" t="s">
        <v>961</v>
      </c>
      <c r="M47" t="s">
        <v>960</v>
      </c>
      <c r="N47" t="s">
        <v>961</v>
      </c>
      <c r="O47" t="s">
        <v>961</v>
      </c>
      <c r="P47" t="s">
        <v>962</v>
      </c>
    </row>
    <row r="48" spans="1:16" x14ac:dyDescent="0.25">
      <c r="A48" t="s">
        <v>653</v>
      </c>
      <c r="B48" t="s">
        <v>1144</v>
      </c>
      <c r="C48" t="str">
        <f t="shared" si="0"/>
        <v/>
      </c>
      <c r="D48" t="s">
        <v>1192</v>
      </c>
      <c r="E48" t="s">
        <v>1210</v>
      </c>
      <c r="F48" t="str">
        <f t="shared" si="3"/>
        <v>DLPMIGlobalITRegion2DataSupport@pmi.com</v>
      </c>
      <c r="G48" t="s">
        <v>963</v>
      </c>
      <c r="J48" t="str">
        <f t="shared" si="2"/>
        <v/>
      </c>
      <c r="M48" t="s">
        <v>964</v>
      </c>
      <c r="N48" t="s">
        <v>965</v>
      </c>
      <c r="O48" t="s">
        <v>890</v>
      </c>
      <c r="P48" t="s">
        <v>962</v>
      </c>
    </row>
    <row r="49" spans="1:16" x14ac:dyDescent="0.25">
      <c r="A49" t="s">
        <v>653</v>
      </c>
      <c r="B49" t="s">
        <v>966</v>
      </c>
      <c r="C49" t="str">
        <f t="shared" si="0"/>
        <v>MX</v>
      </c>
      <c r="D49" t="s">
        <v>67</v>
      </c>
      <c r="E49" t="s">
        <v>1211</v>
      </c>
      <c r="F49" t="str">
        <f t="shared" si="3"/>
        <v>daniel.diaz@pmi.com</v>
      </c>
      <c r="G49" t="s">
        <v>967</v>
      </c>
      <c r="H49" t="s">
        <v>968</v>
      </c>
      <c r="J49" t="str">
        <f t="shared" si="2"/>
        <v>Daniel.Diaz@pmi.com</v>
      </c>
      <c r="K49" t="s">
        <v>1145</v>
      </c>
      <c r="L49" t="s">
        <v>968</v>
      </c>
      <c r="M49" t="s">
        <v>969</v>
      </c>
      <c r="N49" t="s">
        <v>969</v>
      </c>
      <c r="O49" t="s">
        <v>969</v>
      </c>
      <c r="P49" t="s">
        <v>851</v>
      </c>
    </row>
    <row r="50" spans="1:16" x14ac:dyDescent="0.25">
      <c r="A50" t="s">
        <v>653</v>
      </c>
      <c r="B50" t="s">
        <v>970</v>
      </c>
      <c r="C50" t="str">
        <f t="shared" si="0"/>
        <v>MD</v>
      </c>
      <c r="D50" t="s">
        <v>42</v>
      </c>
      <c r="E50" t="s">
        <v>972</v>
      </c>
      <c r="F50" t="str">
        <f t="shared" si="3"/>
        <v>oleh.ivchenko@pmi.com</v>
      </c>
      <c r="G50" t="s">
        <v>1146</v>
      </c>
      <c r="J50" t="str">
        <f t="shared" si="2"/>
        <v>oleh.ivchenko@pmi.com</v>
      </c>
      <c r="K50" t="s">
        <v>1147</v>
      </c>
      <c r="L50" t="s">
        <v>971</v>
      </c>
      <c r="M50" t="s">
        <v>972</v>
      </c>
      <c r="N50" t="s">
        <v>972</v>
      </c>
      <c r="O50" t="s">
        <v>973</v>
      </c>
      <c r="P50" t="s">
        <v>974</v>
      </c>
    </row>
    <row r="51" spans="1:16" x14ac:dyDescent="0.25">
      <c r="A51" t="s">
        <v>653</v>
      </c>
      <c r="B51" t="s">
        <v>975</v>
      </c>
      <c r="C51" t="str">
        <f t="shared" si="0"/>
        <v>MA</v>
      </c>
      <c r="D51" t="s">
        <v>409</v>
      </c>
      <c r="E51" t="s">
        <v>890</v>
      </c>
      <c r="F51" t="str">
        <f t="shared" si="3"/>
        <v>Mohammed.Abdelfattah@pmi.com</v>
      </c>
      <c r="G51" t="s">
        <v>886</v>
      </c>
      <c r="H51" t="s">
        <v>888</v>
      </c>
      <c r="J51" t="str">
        <f t="shared" si="2"/>
        <v>Mohammed.Abdelfattah@pmi.com</v>
      </c>
      <c r="K51" t="s">
        <v>1148</v>
      </c>
      <c r="L51" t="s">
        <v>976</v>
      </c>
      <c r="M51" t="s">
        <v>977</v>
      </c>
      <c r="N51" t="s">
        <v>890</v>
      </c>
      <c r="O51" t="s">
        <v>890</v>
      </c>
      <c r="P51" t="s">
        <v>891</v>
      </c>
    </row>
    <row r="52" spans="1:16" x14ac:dyDescent="0.25">
      <c r="A52" t="s">
        <v>653</v>
      </c>
      <c r="B52" t="s">
        <v>978</v>
      </c>
      <c r="C52" t="str">
        <f t="shared" si="0"/>
        <v>CNRD</v>
      </c>
      <c r="D52" t="s">
        <v>578</v>
      </c>
      <c r="E52" t="s">
        <v>980</v>
      </c>
      <c r="F52" t="str">
        <f t="shared" si="3"/>
        <v>natalia.polyakova@swma.se</v>
      </c>
      <c r="G52" t="s">
        <v>1149</v>
      </c>
      <c r="H52" t="s">
        <v>979</v>
      </c>
      <c r="J52" t="str">
        <f t="shared" si="2"/>
        <v>Solmaz.Azimi@swma.se</v>
      </c>
      <c r="K52" t="s">
        <v>1150</v>
      </c>
      <c r="L52" t="s">
        <v>979</v>
      </c>
      <c r="M52" t="s">
        <v>980</v>
      </c>
      <c r="N52" t="s">
        <v>981</v>
      </c>
      <c r="O52" t="s">
        <v>981</v>
      </c>
      <c r="P52" t="s">
        <v>981</v>
      </c>
    </row>
    <row r="53" spans="1:16" x14ac:dyDescent="0.25">
      <c r="A53" t="s">
        <v>852</v>
      </c>
      <c r="B53" t="s">
        <v>982</v>
      </c>
      <c r="C53" t="str">
        <f t="shared" si="0"/>
        <v>PNCL</v>
      </c>
      <c r="D53" t="s">
        <v>505</v>
      </c>
      <c r="E53" t="s">
        <v>1212</v>
      </c>
      <c r="F53" t="str">
        <f t="shared" si="3"/>
        <v>Monika.Mardaus@pmi.com</v>
      </c>
      <c r="G53" t="s">
        <v>1151</v>
      </c>
      <c r="J53" t="str">
        <f t="shared" si="2"/>
        <v>Fernandes, Teresa</v>
      </c>
      <c r="K53" t="s">
        <v>1096</v>
      </c>
      <c r="L53" t="s">
        <v>1091</v>
      </c>
      <c r="M53" t="s">
        <v>1094</v>
      </c>
      <c r="N53" t="s">
        <v>936</v>
      </c>
      <c r="O53" t="s">
        <v>936</v>
      </c>
      <c r="P53" t="s">
        <v>1091</v>
      </c>
    </row>
    <row r="54" spans="1:16" x14ac:dyDescent="0.25">
      <c r="A54" t="s">
        <v>653</v>
      </c>
      <c r="B54" t="s">
        <v>983</v>
      </c>
      <c r="C54" t="str">
        <f t="shared" si="0"/>
        <v>PK</v>
      </c>
      <c r="D54" t="s">
        <v>68</v>
      </c>
      <c r="E54" t="s">
        <v>987</v>
      </c>
      <c r="F54" t="str">
        <f t="shared" si="3"/>
        <v>ammar.ahmad@pmi.com</v>
      </c>
      <c r="G54" t="s">
        <v>1152</v>
      </c>
      <c r="I54" t="s">
        <v>800</v>
      </c>
      <c r="J54" t="str">
        <f t="shared" si="2"/>
        <v>Zainab.Imran@pmi.com</v>
      </c>
      <c r="K54" t="s">
        <v>1153</v>
      </c>
      <c r="L54" t="s">
        <v>985</v>
      </c>
      <c r="M54" t="s">
        <v>986</v>
      </c>
      <c r="N54" t="s">
        <v>987</v>
      </c>
      <c r="O54" t="s">
        <v>987</v>
      </c>
      <c r="P54" t="s">
        <v>988</v>
      </c>
    </row>
    <row r="55" spans="1:16" x14ac:dyDescent="0.25">
      <c r="A55" t="s">
        <v>653</v>
      </c>
      <c r="B55" t="s">
        <v>989</v>
      </c>
      <c r="C55" t="str">
        <f t="shared" si="0"/>
        <v>PH</v>
      </c>
      <c r="D55" t="s">
        <v>72</v>
      </c>
      <c r="E55" t="s">
        <v>1213</v>
      </c>
      <c r="F55" t="str">
        <f t="shared" si="3"/>
        <v>wilhelm.su@pmi.com</v>
      </c>
      <c r="G55" t="s">
        <v>1154</v>
      </c>
      <c r="H55" t="s">
        <v>990</v>
      </c>
      <c r="I55" t="s">
        <v>959</v>
      </c>
      <c r="J55" t="str">
        <f t="shared" si="2"/>
        <v>wilhelm.su@pmi.com</v>
      </c>
      <c r="K55" t="s">
        <v>1155</v>
      </c>
      <c r="L55" t="s">
        <v>991</v>
      </c>
      <c r="M55" t="s">
        <v>992</v>
      </c>
      <c r="N55" t="s">
        <v>993</v>
      </c>
      <c r="O55" t="s">
        <v>993</v>
      </c>
      <c r="P55" t="s">
        <v>994</v>
      </c>
    </row>
    <row r="56" spans="1:16" x14ac:dyDescent="0.25">
      <c r="A56" t="s">
        <v>653</v>
      </c>
      <c r="B56" t="s">
        <v>995</v>
      </c>
      <c r="C56" t="str">
        <f t="shared" si="0"/>
        <v>PL</v>
      </c>
      <c r="D56" t="s">
        <v>396</v>
      </c>
      <c r="E56" t="s">
        <v>1000</v>
      </c>
      <c r="F56" t="str">
        <f t="shared" si="3"/>
        <v>jelena.mirzojeva@pmi.com</v>
      </c>
      <c r="G56" t="s">
        <v>1156</v>
      </c>
      <c r="H56" t="s">
        <v>996</v>
      </c>
      <c r="I56" t="s">
        <v>997</v>
      </c>
      <c r="J56" t="str">
        <f t="shared" si="2"/>
        <v>Ludomir.Mossakowski@pmi.com</v>
      </c>
      <c r="K56" t="s">
        <v>1157</v>
      </c>
      <c r="L56" t="s">
        <v>998</v>
      </c>
      <c r="M56" t="s">
        <v>999</v>
      </c>
      <c r="N56" t="s">
        <v>1000</v>
      </c>
      <c r="O56" t="s">
        <v>1000</v>
      </c>
      <c r="P56" t="s">
        <v>821</v>
      </c>
    </row>
    <row r="57" spans="1:16" x14ac:dyDescent="0.25">
      <c r="A57" t="s">
        <v>653</v>
      </c>
      <c r="B57" t="s">
        <v>1001</v>
      </c>
      <c r="C57" t="str">
        <f t="shared" si="0"/>
        <v>PT</v>
      </c>
      <c r="D57" t="s">
        <v>65</v>
      </c>
      <c r="E57" t="s">
        <v>1214</v>
      </c>
      <c r="F57" t="str">
        <f t="shared" si="3"/>
        <v>javier.corcuera@pmi.com</v>
      </c>
      <c r="G57" t="s">
        <v>1158</v>
      </c>
      <c r="H57" t="s">
        <v>1002</v>
      </c>
      <c r="I57" t="s">
        <v>1003</v>
      </c>
      <c r="J57" t="str">
        <f t="shared" si="2"/>
        <v>diogo.algarvio@pmi.com</v>
      </c>
      <c r="K57" t="s">
        <v>1159</v>
      </c>
      <c r="L57" t="s">
        <v>1004</v>
      </c>
      <c r="M57" t="s">
        <v>1005</v>
      </c>
      <c r="N57" t="s">
        <v>1006</v>
      </c>
      <c r="O57" t="s">
        <v>1006</v>
      </c>
      <c r="P57" t="s">
        <v>1007</v>
      </c>
    </row>
    <row r="58" spans="1:16" x14ac:dyDescent="0.25">
      <c r="A58" t="s">
        <v>852</v>
      </c>
      <c r="B58" t="s">
        <v>1008</v>
      </c>
      <c r="C58" t="str">
        <f t="shared" si="0"/>
        <v>PROC</v>
      </c>
      <c r="D58" t="s">
        <v>625</v>
      </c>
      <c r="E58" t="s">
        <v>1206</v>
      </c>
      <c r="F58" t="str">
        <f t="shared" si="3"/>
        <v>ewa.kloc-kulesza@pmi.com</v>
      </c>
      <c r="G58" t="s">
        <v>1117</v>
      </c>
      <c r="J58" t="str">
        <f t="shared" si="2"/>
        <v>Kloc-Kulesza, Ewa</v>
      </c>
      <c r="K58" t="s">
        <v>1118</v>
      </c>
      <c r="L58" t="s">
        <v>1091</v>
      </c>
      <c r="M58" t="s">
        <v>1094</v>
      </c>
      <c r="N58" t="s">
        <v>1160</v>
      </c>
      <c r="O58" t="s">
        <v>1160</v>
      </c>
      <c r="P58" t="s">
        <v>1091</v>
      </c>
    </row>
    <row r="59" spans="1:16" x14ac:dyDescent="0.25">
      <c r="A59" t="s">
        <v>852</v>
      </c>
      <c r="B59" t="s">
        <v>1009</v>
      </c>
      <c r="C59" t="str">
        <f t="shared" si="0"/>
        <v>CRND</v>
      </c>
      <c r="D59" t="s">
        <v>706</v>
      </c>
      <c r="E59" t="s">
        <v>1206</v>
      </c>
      <c r="F59" t="str">
        <f t="shared" si="3"/>
        <v>ewa.kloc-kulesza@pmi.com</v>
      </c>
      <c r="G59" t="s">
        <v>1117</v>
      </c>
      <c r="J59" t="str">
        <f t="shared" si="2"/>
        <v>Kloc-Kulesza, Ewa</v>
      </c>
      <c r="K59" t="s">
        <v>1118</v>
      </c>
      <c r="L59" t="s">
        <v>1091</v>
      </c>
      <c r="M59" t="s">
        <v>1094</v>
      </c>
      <c r="N59" t="s">
        <v>1160</v>
      </c>
      <c r="O59" t="s">
        <v>1160</v>
      </c>
      <c r="P59" t="s">
        <v>1091</v>
      </c>
    </row>
    <row r="60" spans="1:16" x14ac:dyDescent="0.25">
      <c r="A60" t="s">
        <v>852</v>
      </c>
      <c r="B60" t="s">
        <v>1010</v>
      </c>
      <c r="C60" t="str">
        <f t="shared" si="0"/>
        <v>RISK</v>
      </c>
      <c r="D60" t="s">
        <v>557</v>
      </c>
      <c r="E60" s="5" t="s">
        <v>859</v>
      </c>
      <c r="F60" t="str">
        <f t="shared" si="3"/>
        <v>Bruna.Carvalho@pmi.com Teresa.Fernandes@pmi.com Robert.Coates@pmi.com</v>
      </c>
      <c r="G60" t="s">
        <v>1161</v>
      </c>
      <c r="J60" t="str">
        <f t="shared" si="2"/>
        <v>Fernandes, Teresa</v>
      </c>
      <c r="K60" t="s">
        <v>1096</v>
      </c>
      <c r="L60" t="s">
        <v>1091</v>
      </c>
      <c r="M60" t="s">
        <v>1094</v>
      </c>
      <c r="N60" t="s">
        <v>1162</v>
      </c>
      <c r="O60" t="s">
        <v>1162</v>
      </c>
      <c r="P60" t="s">
        <v>1091</v>
      </c>
    </row>
    <row r="61" spans="1:16" x14ac:dyDescent="0.25">
      <c r="A61" t="s">
        <v>653</v>
      </c>
      <c r="B61" t="s">
        <v>1011</v>
      </c>
      <c r="C61" t="str">
        <f t="shared" si="0"/>
        <v>SEE Cluster</v>
      </c>
      <c r="D61" t="s">
        <v>1196</v>
      </c>
      <c r="E61" t="s">
        <v>1014</v>
      </c>
      <c r="F61" t="str">
        <f t="shared" si="3"/>
        <v>nenad.djordjevic@pmi.com</v>
      </c>
      <c r="G61" t="s">
        <v>1163</v>
      </c>
      <c r="H61" t="s">
        <v>1012</v>
      </c>
      <c r="J61" t="str">
        <f t="shared" si="2"/>
        <v>Nenad.Djordjevic@pmi.com</v>
      </c>
      <c r="K61" t="s">
        <v>1164</v>
      </c>
      <c r="L61" t="s">
        <v>1012</v>
      </c>
      <c r="M61" t="s">
        <v>1013</v>
      </c>
      <c r="N61" t="s">
        <v>1014</v>
      </c>
      <c r="O61" t="s">
        <v>1014</v>
      </c>
      <c r="P61" t="s">
        <v>1165</v>
      </c>
    </row>
    <row r="62" spans="1:16" x14ac:dyDescent="0.25">
      <c r="A62" t="s">
        <v>653</v>
      </c>
      <c r="B62" t="s">
        <v>1015</v>
      </c>
      <c r="C62" t="str">
        <f t="shared" si="0"/>
        <v>CSSA</v>
      </c>
      <c r="D62" t="s">
        <v>1197</v>
      </c>
      <c r="E62" t="s">
        <v>1018</v>
      </c>
      <c r="F62" t="str">
        <f t="shared" si="3"/>
        <v>mthokozisi.nhlabatsi@contracted.pmi.com</v>
      </c>
      <c r="G62" t="s">
        <v>1166</v>
      </c>
      <c r="H62" t="s">
        <v>1016</v>
      </c>
      <c r="J62" t="str">
        <f t="shared" si="2"/>
        <v>Pierre.Ndione@pmi.com</v>
      </c>
      <c r="K62" t="s">
        <v>1167</v>
      </c>
      <c r="L62" t="s">
        <v>1016</v>
      </c>
      <c r="M62" t="s">
        <v>1017</v>
      </c>
      <c r="N62" t="s">
        <v>1018</v>
      </c>
      <c r="O62" t="s">
        <v>890</v>
      </c>
      <c r="P62" t="s">
        <v>1019</v>
      </c>
    </row>
    <row r="63" spans="1:16" x14ac:dyDescent="0.25">
      <c r="A63" t="s">
        <v>653</v>
      </c>
      <c r="B63" t="s">
        <v>1020</v>
      </c>
      <c r="C63" t="str">
        <f t="shared" si="0"/>
        <v>ES</v>
      </c>
      <c r="D63" t="s">
        <v>140</v>
      </c>
      <c r="E63" t="s">
        <v>1214</v>
      </c>
      <c r="F63" t="str">
        <f t="shared" si="3"/>
        <v>javier.corcuera@pmi.com</v>
      </c>
      <c r="G63" t="s">
        <v>1168</v>
      </c>
      <c r="H63" t="s">
        <v>1021</v>
      </c>
      <c r="I63" t="s">
        <v>1022</v>
      </c>
      <c r="J63" t="str">
        <f t="shared" si="2"/>
        <v>diogo.algarvio@pmi.com</v>
      </c>
      <c r="K63" t="s">
        <v>1169</v>
      </c>
      <c r="L63" t="s">
        <v>1021</v>
      </c>
      <c r="M63" t="s">
        <v>1005</v>
      </c>
      <c r="N63" t="s">
        <v>1006</v>
      </c>
      <c r="O63" t="s">
        <v>1006</v>
      </c>
      <c r="P63" t="s">
        <v>1007</v>
      </c>
    </row>
    <row r="64" spans="1:16" x14ac:dyDescent="0.25">
      <c r="A64" t="s">
        <v>852</v>
      </c>
      <c r="B64" t="s">
        <v>1023</v>
      </c>
      <c r="C64" t="str">
        <f t="shared" si="0"/>
        <v>SPCH</v>
      </c>
      <c r="D64" t="s">
        <v>456</v>
      </c>
      <c r="E64" t="s">
        <v>914</v>
      </c>
      <c r="F64" t="str">
        <f t="shared" si="3"/>
        <v>kirill.ivanov@pmi.com</v>
      </c>
      <c r="G64" t="s">
        <v>1170</v>
      </c>
      <c r="J64" t="str">
        <f t="shared" si="2"/>
        <v>Kloc-Kulesza, Ewa</v>
      </c>
      <c r="K64" t="s">
        <v>1118</v>
      </c>
      <c r="L64" t="s">
        <v>1091</v>
      </c>
      <c r="M64" t="s">
        <v>1094</v>
      </c>
      <c r="N64" t="s">
        <v>1024</v>
      </c>
      <c r="O64" t="s">
        <v>1024</v>
      </c>
      <c r="P64" t="s">
        <v>1091</v>
      </c>
    </row>
    <row r="65" spans="1:16" x14ac:dyDescent="0.25">
      <c r="A65" t="s">
        <v>852</v>
      </c>
      <c r="B65" t="s">
        <v>1025</v>
      </c>
      <c r="C65" t="str">
        <f t="shared" si="0"/>
        <v>SUST</v>
      </c>
      <c r="D65" t="s">
        <v>488</v>
      </c>
      <c r="E65" t="s">
        <v>1200</v>
      </c>
      <c r="F65" t="str">
        <f t="shared" si="3"/>
        <v>Cristina.Tsiambouris@pmi.com</v>
      </c>
      <c r="G65" t="s">
        <v>1171</v>
      </c>
      <c r="J65" t="str">
        <f t="shared" si="2"/>
        <v>Castillo, Carlos E.</v>
      </c>
      <c r="K65" t="s">
        <v>1138</v>
      </c>
      <c r="L65" t="s">
        <v>1091</v>
      </c>
      <c r="M65" t="s">
        <v>1094</v>
      </c>
      <c r="N65" t="s">
        <v>1070</v>
      </c>
      <c r="O65" t="s">
        <v>1070</v>
      </c>
      <c r="P65" t="s">
        <v>1091</v>
      </c>
    </row>
    <row r="66" spans="1:16" x14ac:dyDescent="0.25">
      <c r="A66" t="s">
        <v>653</v>
      </c>
      <c r="B66" t="s">
        <v>1026</v>
      </c>
      <c r="C66" t="str">
        <f t="shared" ref="C66:C74" si="4">IF(ISNUMBER(FIND("(",B66)),MID(B66,FIND("(",B66)+1,FIND(")",B66)-FIND("(",B66)-1),"")</f>
        <v>CH</v>
      </c>
      <c r="D66" t="s">
        <v>183</v>
      </c>
      <c r="E66" t="s">
        <v>1215</v>
      </c>
      <c r="F66" t="str">
        <f t="shared" ref="F66:F97" si="5">IF(G66="","",TRIM(IF(ISNUMBER(FIND(";",G66)),LEFT(G66,FIND(";",G66)-1),G66)))</f>
        <v>audrey.daboudet@pmi.com</v>
      </c>
      <c r="G66" t="s">
        <v>1172</v>
      </c>
      <c r="H66" t="s">
        <v>1027</v>
      </c>
      <c r="J66" t="str">
        <f t="shared" ref="J66:J74" si="6">IF(K66="","",TRIM(_xlfn.LET(
        _xlpm.text,K66,
        _xlpm.startPos,IF(ISNUMBER(SEARCH("DEL =",_xlpm.text)),SEARCH("DEL =",_xlpm.text)+6,IF(ISNUMBER(SEARCH("=",_xlpm.text)),SEARCH("=",_xlpm.text)+2,1)),
        _xlpm.endPos,IFERROR(SEARCH(";",_xlpm.text,_xlpm.startPos),LEN(_xlpm.text)+1),
        MID(_xlpm.text,_xlpm.startPos,_xlpm.endPos-_xlpm.startPos)
    )))</f>
        <v>Audrey.Daboudet@pmi.com</v>
      </c>
      <c r="K66" t="s">
        <v>1173</v>
      </c>
      <c r="L66" t="s">
        <v>1028</v>
      </c>
      <c r="M66" t="s">
        <v>1028</v>
      </c>
      <c r="N66" t="s">
        <v>1028</v>
      </c>
      <c r="O66" t="s">
        <v>1028</v>
      </c>
      <c r="P66" t="s">
        <v>1029</v>
      </c>
    </row>
    <row r="67" spans="1:16" x14ac:dyDescent="0.25">
      <c r="A67" t="s">
        <v>653</v>
      </c>
      <c r="B67" t="s">
        <v>1030</v>
      </c>
      <c r="C67" t="str">
        <f t="shared" si="4"/>
        <v>TW</v>
      </c>
      <c r="D67" t="s">
        <v>48</v>
      </c>
      <c r="E67" t="s">
        <v>1034</v>
      </c>
      <c r="F67" t="str">
        <f t="shared" si="5"/>
        <v>ping.gu@pmi.com</v>
      </c>
      <c r="G67" t="s">
        <v>1174</v>
      </c>
      <c r="J67" t="str">
        <f t="shared" si="6"/>
        <v>MinJung.Kim@pmi.com</v>
      </c>
      <c r="K67" t="s">
        <v>1175</v>
      </c>
      <c r="L67" t="s">
        <v>1031</v>
      </c>
      <c r="M67" t="s">
        <v>1032</v>
      </c>
      <c r="N67" t="s">
        <v>1033</v>
      </c>
      <c r="O67" t="s">
        <v>807</v>
      </c>
      <c r="P67" t="s">
        <v>1034</v>
      </c>
    </row>
    <row r="68" spans="1:16" x14ac:dyDescent="0.25">
      <c r="A68" t="s">
        <v>653</v>
      </c>
      <c r="B68" t="s">
        <v>1035</v>
      </c>
      <c r="C68" t="str">
        <f t="shared" si="4"/>
        <v>TH</v>
      </c>
      <c r="D68" t="s">
        <v>131</v>
      </c>
      <c r="E68" t="s">
        <v>1216</v>
      </c>
      <c r="F68" t="str">
        <f t="shared" si="5"/>
        <v>meteerat.taneerat@pmi.com</v>
      </c>
      <c r="G68" t="s">
        <v>1176</v>
      </c>
      <c r="H68" t="s">
        <v>917</v>
      </c>
      <c r="I68" t="s">
        <v>841</v>
      </c>
      <c r="J68" t="str">
        <f t="shared" si="6"/>
        <v>CharlesCedric.Tanedo@pmi.com</v>
      </c>
      <c r="K68" t="s">
        <v>1177</v>
      </c>
      <c r="L68" t="s">
        <v>841</v>
      </c>
      <c r="O68" t="s">
        <v>1036</v>
      </c>
      <c r="P68" t="s">
        <v>1037</v>
      </c>
    </row>
    <row r="69" spans="1:16" x14ac:dyDescent="0.25">
      <c r="A69" t="s">
        <v>653</v>
      </c>
      <c r="B69" t="s">
        <v>666</v>
      </c>
      <c r="C69" t="str">
        <f t="shared" si="4"/>
        <v/>
      </c>
      <c r="D69" t="s">
        <v>1192</v>
      </c>
      <c r="E69" t="s">
        <v>1039</v>
      </c>
      <c r="F69" t="str">
        <f t="shared" si="5"/>
        <v>Simge.Yildirim@pmi.com</v>
      </c>
      <c r="G69" t="s">
        <v>1178</v>
      </c>
      <c r="J69" t="str">
        <f t="shared" si="6"/>
        <v>Simge.Yildirim@pmi.com</v>
      </c>
      <c r="K69" t="s">
        <v>1179</v>
      </c>
      <c r="L69" t="s">
        <v>1038</v>
      </c>
      <c r="M69" t="s">
        <v>1038</v>
      </c>
      <c r="N69" t="s">
        <v>1039</v>
      </c>
      <c r="O69" t="s">
        <v>1039</v>
      </c>
      <c r="P69" t="s">
        <v>1040</v>
      </c>
    </row>
    <row r="70" spans="1:16" x14ac:dyDescent="0.25">
      <c r="A70" t="s">
        <v>653</v>
      </c>
      <c r="B70" t="s">
        <v>1041</v>
      </c>
      <c r="C70" t="str">
        <f t="shared" si="4"/>
        <v>UA</v>
      </c>
      <c r="D70" t="s">
        <v>0</v>
      </c>
      <c r="E70" t="s">
        <v>972</v>
      </c>
      <c r="F70" t="str">
        <f t="shared" si="5"/>
        <v>oleh.ivchenko@pmi.com</v>
      </c>
      <c r="G70" t="s">
        <v>1180</v>
      </c>
      <c r="I70" t="s">
        <v>1043</v>
      </c>
      <c r="J70" t="str">
        <f t="shared" si="6"/>
        <v>oleh.ivchenko@pmi.com</v>
      </c>
      <c r="K70" t="s">
        <v>1181</v>
      </c>
      <c r="L70" t="s">
        <v>1042</v>
      </c>
      <c r="M70" t="s">
        <v>972</v>
      </c>
      <c r="N70" t="s">
        <v>972</v>
      </c>
      <c r="O70" t="s">
        <v>973</v>
      </c>
      <c r="P70" t="s">
        <v>974</v>
      </c>
    </row>
    <row r="71" spans="1:16" x14ac:dyDescent="0.25">
      <c r="A71" t="s">
        <v>653</v>
      </c>
      <c r="B71" t="s">
        <v>1044</v>
      </c>
      <c r="C71" t="str">
        <f t="shared" si="4"/>
        <v>UK</v>
      </c>
      <c r="D71" t="s">
        <v>74</v>
      </c>
      <c r="E71" t="s">
        <v>1217</v>
      </c>
      <c r="F71" t="str">
        <f t="shared" si="5"/>
        <v>Nikolay.Salionov@pmi.com</v>
      </c>
      <c r="G71" t="s">
        <v>1182</v>
      </c>
      <c r="H71" t="s">
        <v>1045</v>
      </c>
      <c r="J71" t="str">
        <f t="shared" si="6"/>
        <v>Guilherme.Pedroso@pmi.com</v>
      </c>
      <c r="K71" t="s">
        <v>1183</v>
      </c>
      <c r="L71" t="s">
        <v>1046</v>
      </c>
      <c r="M71" t="s">
        <v>1047</v>
      </c>
      <c r="N71" t="s">
        <v>1047</v>
      </c>
      <c r="O71" t="s">
        <v>1047</v>
      </c>
      <c r="P71" t="s">
        <v>1048</v>
      </c>
    </row>
    <row r="72" spans="1:16" x14ac:dyDescent="0.25">
      <c r="A72" t="s">
        <v>653</v>
      </c>
      <c r="B72" t="s">
        <v>1049</v>
      </c>
      <c r="C72" t="str">
        <f t="shared" si="4"/>
        <v>UY</v>
      </c>
      <c r="D72" t="s">
        <v>540</v>
      </c>
      <c r="E72" t="s">
        <v>1218</v>
      </c>
      <c r="F72" t="str">
        <f t="shared" si="5"/>
        <v>gabriel.guzman@pmi.com</v>
      </c>
      <c r="G72" t="s">
        <v>1184</v>
      </c>
      <c r="H72" t="s">
        <v>1050</v>
      </c>
      <c r="J72" t="str">
        <f t="shared" si="6"/>
        <v/>
      </c>
      <c r="M72" t="s">
        <v>1051</v>
      </c>
      <c r="N72" t="s">
        <v>1052</v>
      </c>
      <c r="O72" t="s">
        <v>1052</v>
      </c>
      <c r="P72" t="s">
        <v>1053</v>
      </c>
    </row>
    <row r="73" spans="1:16" x14ac:dyDescent="0.25">
      <c r="A73" t="s">
        <v>653</v>
      </c>
      <c r="B73" t="s">
        <v>1054</v>
      </c>
      <c r="C73" t="str">
        <f t="shared" si="4"/>
        <v>US</v>
      </c>
      <c r="D73" t="s">
        <v>672</v>
      </c>
      <c r="E73" t="s">
        <v>1219</v>
      </c>
      <c r="F73" t="str">
        <f t="shared" si="5"/>
        <v>Rafik.Bhura@smpmi.com</v>
      </c>
      <c r="G73" t="s">
        <v>1185</v>
      </c>
      <c r="I73" t="s">
        <v>1057</v>
      </c>
      <c r="J73" t="str">
        <f t="shared" si="6"/>
        <v>Rafik.Bhura@smpmi.com</v>
      </c>
      <c r="K73" t="s">
        <v>1186</v>
      </c>
      <c r="L73" t="s">
        <v>1056</v>
      </c>
      <c r="M73" t="s">
        <v>1187</v>
      </c>
      <c r="N73" t="s">
        <v>1187</v>
      </c>
      <c r="O73" t="s">
        <v>1055</v>
      </c>
      <c r="P73" t="s">
        <v>1058</v>
      </c>
    </row>
    <row r="74" spans="1:16" x14ac:dyDescent="0.25">
      <c r="A74" t="s">
        <v>653</v>
      </c>
      <c r="B74" t="s">
        <v>1188</v>
      </c>
      <c r="C74" t="str">
        <f t="shared" si="4"/>
        <v>EE</v>
      </c>
      <c r="D74" t="s">
        <v>15</v>
      </c>
      <c r="E74" t="s">
        <v>972</v>
      </c>
      <c r="F74" t="str">
        <f t="shared" si="5"/>
        <v>oleh.ivchenko@pmi.com</v>
      </c>
      <c r="G74" t="s">
        <v>1189</v>
      </c>
      <c r="I74" t="s">
        <v>972</v>
      </c>
      <c r="J74" t="str">
        <f t="shared" si="6"/>
        <v>oleh.ivchenko@pmi.com</v>
      </c>
      <c r="K74" t="s">
        <v>1190</v>
      </c>
      <c r="L74" t="s">
        <v>974</v>
      </c>
      <c r="M74" t="s">
        <v>972</v>
      </c>
      <c r="N74" t="s">
        <v>972</v>
      </c>
      <c r="O74" t="s">
        <v>1059</v>
      </c>
      <c r="P74" t="s">
        <v>974</v>
      </c>
    </row>
  </sheetData>
  <hyperlinks>
    <hyperlink ref="E17" r:id="rId1" xr:uid="{2986F800-F263-473A-BA83-03C42FAFF6A0}"/>
    <hyperlink ref="E25" r:id="rId2" xr:uid="{5EC09978-B578-4C44-9DE5-FDF8A60F4693}"/>
    <hyperlink ref="E35" r:id="rId3" xr:uid="{E60823A0-0F55-4C14-B8EA-391667D1E140}"/>
    <hyperlink ref="E37" r:id="rId4" xr:uid="{24240F42-B700-4671-878B-532093328E8E}"/>
    <hyperlink ref="E39" r:id="rId5" xr:uid="{2A43C46F-4A55-43F5-A756-453076CEFE58}"/>
    <hyperlink ref="E60" r:id="rId6" xr:uid="{2350DD4B-393B-429A-AB47-405C8B72A13A}"/>
  </hyperlinks>
  <pageMargins left="0.7" right="0.7" top="0.75" bottom="0.75" header="0.3" footer="0.3"/>
  <tableParts count="1">
    <tablePart r:id="rId7"/>
  </tableParts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MasterData</vt:lpstr>
      <vt:lpstr>ActiveMD</vt:lpstr>
      <vt:lpstr>interactions data sharing</vt:lpstr>
      <vt:lpstr>Sheet10</vt:lpstr>
      <vt:lpstr>Sheet6</vt:lpstr>
      <vt:lpstr>Sheet8</vt:lpstr>
      <vt:lpstr>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Yusuf, Yudha Cipta Maulana</dc:creator>
  <cp:lastModifiedBy>Yusuf, Yudha Cipta Maulana</cp:lastModifiedBy>
  <dcterms:created xsi:type="dcterms:W3CDTF">2026-04-14T06:43:54Z</dcterms:created>
  <dcterms:modified xsi:type="dcterms:W3CDTF">2026-04-18T04:31:57Z</dcterms:modified>
</cp:coreProperties>
</file>