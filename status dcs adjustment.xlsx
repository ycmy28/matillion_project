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suf5\Downloads\"/>
    </mc:Choice>
  </mc:AlternateContent>
  <xr:revisionPtr revIDLastSave="0" documentId="13_ncr:1_{22AD2CB2-6172-4634-BC10-7C836541B250}" xr6:coauthVersionLast="47" xr6:coauthVersionMax="47" xr10:uidLastSave="{00000000-0000-0000-0000-000000000000}"/>
  <bookViews>
    <workbookView xWindow="870" yWindow="3690" windowWidth="10050" windowHeight="12645" xr2:uid="{D14CE838-210E-4BDD-9D44-C62B8A0BF6D9}"/>
  </bookViews>
  <sheets>
    <sheet name="Summary DCS Ingestion Adjustmen" sheetId="3" r:id="rId1"/>
    <sheet name="Prod Deployment Plan" sheetId="6" r:id="rId2"/>
    <sheet name="PRD Deployment details" sheetId="5" r:id="rId3"/>
    <sheet name="PRD revert to delta" sheetId="8" r:id="rId4"/>
    <sheet name="Schedule DISP" sheetId="9" r:id="rId5"/>
    <sheet name="Devices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D2" i="9"/>
  <c r="D13" i="9"/>
  <c r="D14" i="9"/>
  <c r="D8" i="9"/>
  <c r="D9" i="9"/>
  <c r="D15" i="9"/>
  <c r="D3" i="9"/>
  <c r="D4" i="9"/>
  <c r="D6" i="9"/>
  <c r="D7" i="9"/>
  <c r="D12" i="9"/>
  <c r="D5" i="9"/>
  <c r="D16" i="9"/>
  <c r="D10" i="9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D198" i="5"/>
  <c r="B198" i="5" s="1"/>
  <c r="D199" i="5"/>
  <c r="B199" i="5" s="1"/>
  <c r="D200" i="5"/>
  <c r="B200" i="5" s="1"/>
  <c r="D201" i="5"/>
  <c r="B201" i="5" s="1"/>
  <c r="D202" i="5"/>
  <c r="B202" i="5" s="1"/>
  <c r="D203" i="5"/>
  <c r="B203" i="5" s="1"/>
  <c r="D204" i="5"/>
  <c r="B204" i="5" s="1"/>
  <c r="D205" i="5"/>
  <c r="B205" i="5" s="1"/>
  <c r="D206" i="5"/>
  <c r="B206" i="5" s="1"/>
  <c r="D207" i="5"/>
  <c r="B207" i="5" s="1"/>
  <c r="D208" i="5"/>
  <c r="B208" i="5" s="1"/>
  <c r="D209" i="5"/>
  <c r="B209" i="5" s="1"/>
  <c r="D210" i="5"/>
  <c r="B210" i="5" s="1"/>
  <c r="D211" i="5"/>
  <c r="B211" i="5" s="1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114" i="5"/>
  <c r="C86" i="5"/>
  <c r="C142" i="5"/>
  <c r="C115" i="5"/>
  <c r="C2" i="5"/>
  <c r="C156" i="5"/>
  <c r="C16" i="5"/>
  <c r="C17" i="5"/>
  <c r="C128" i="5"/>
  <c r="C87" i="5"/>
  <c r="C18" i="5"/>
  <c r="C116" i="5"/>
  <c r="C117" i="5"/>
  <c r="C170" i="5"/>
  <c r="C88" i="5"/>
  <c r="C30" i="5"/>
  <c r="C31" i="5"/>
  <c r="C72" i="5"/>
  <c r="C129" i="5"/>
  <c r="C143" i="5"/>
  <c r="C3" i="5"/>
  <c r="C171" i="5"/>
  <c r="C89" i="5"/>
  <c r="C32" i="5"/>
  <c r="C130" i="5"/>
  <c r="C73" i="5"/>
  <c r="C118" i="5"/>
  <c r="C157" i="5"/>
  <c r="C4" i="5"/>
  <c r="C158" i="5"/>
  <c r="C131" i="5"/>
  <c r="C33" i="5"/>
  <c r="C132" i="5"/>
  <c r="C119" i="5"/>
  <c r="C159" i="5"/>
  <c r="C19" i="5"/>
  <c r="C20" i="5"/>
  <c r="C100" i="5"/>
  <c r="C21" i="5"/>
  <c r="C22" i="5"/>
  <c r="C5" i="5"/>
  <c r="C101" i="5"/>
  <c r="C120" i="5"/>
  <c r="C74" i="5"/>
  <c r="C184" i="5"/>
  <c r="C144" i="5"/>
  <c r="C58" i="5"/>
  <c r="C59" i="5"/>
  <c r="C133" i="5"/>
  <c r="C75" i="5"/>
  <c r="C34" i="5"/>
  <c r="C23" i="5"/>
  <c r="C185" i="5"/>
  <c r="C160" i="5"/>
  <c r="C186" i="5"/>
  <c r="C134" i="5"/>
  <c r="C35" i="5"/>
  <c r="C172" i="5"/>
  <c r="C161" i="5"/>
  <c r="C145" i="5"/>
  <c r="C24" i="5"/>
  <c r="C6" i="5"/>
  <c r="C162" i="5"/>
  <c r="C76" i="5"/>
  <c r="C163" i="5"/>
  <c r="C173" i="5"/>
  <c r="C174" i="5"/>
  <c r="C175" i="5"/>
  <c r="C187" i="5"/>
  <c r="C90" i="5"/>
  <c r="C60" i="5"/>
  <c r="C7" i="5"/>
  <c r="C146" i="5"/>
  <c r="C36" i="5"/>
  <c r="C102" i="5"/>
  <c r="C188" i="5"/>
  <c r="C189" i="5"/>
  <c r="C190" i="5"/>
  <c r="C37" i="5"/>
  <c r="C77" i="5"/>
  <c r="C91" i="5"/>
  <c r="C176" i="5"/>
  <c r="C25" i="5"/>
  <c r="C191" i="5"/>
  <c r="C103" i="5"/>
  <c r="C38" i="5"/>
  <c r="C92" i="5"/>
  <c r="C26" i="5"/>
  <c r="C192" i="5"/>
  <c r="C27" i="5"/>
  <c r="C177" i="5"/>
  <c r="C78" i="5"/>
  <c r="C8" i="5"/>
  <c r="C147" i="5"/>
  <c r="C61" i="5"/>
  <c r="C135" i="5"/>
  <c r="C93" i="5"/>
  <c r="C136" i="5"/>
  <c r="C9" i="5"/>
  <c r="C94" i="5"/>
  <c r="C104" i="5"/>
  <c r="C10" i="5"/>
  <c r="C95" i="5"/>
  <c r="C11" i="5"/>
  <c r="C121" i="5"/>
  <c r="C164" i="5"/>
  <c r="C12" i="5"/>
  <c r="C122" i="5"/>
  <c r="C39" i="5"/>
  <c r="C148" i="5"/>
  <c r="C165" i="5"/>
  <c r="C28" i="5"/>
  <c r="C149" i="5"/>
  <c r="C40" i="5"/>
  <c r="C79" i="5"/>
  <c r="C96" i="5"/>
  <c r="C80" i="5"/>
  <c r="C123" i="5"/>
  <c r="C97" i="5"/>
  <c r="C62" i="5"/>
  <c r="C13" i="5"/>
  <c r="C150" i="5"/>
  <c r="C81" i="5"/>
  <c r="C105" i="5"/>
  <c r="C63" i="5"/>
  <c r="C178" i="5"/>
  <c r="C166" i="5"/>
  <c r="C124" i="5"/>
  <c r="C106" i="5"/>
  <c r="C64" i="5"/>
  <c r="C107" i="5"/>
  <c r="C137" i="5"/>
  <c r="C151" i="5"/>
  <c r="C82" i="5"/>
  <c r="C152" i="5"/>
  <c r="C29" i="5"/>
  <c r="C193" i="5"/>
  <c r="C83" i="5"/>
  <c r="C108" i="5"/>
  <c r="C109" i="5"/>
  <c r="C65" i="5"/>
  <c r="C194" i="5"/>
  <c r="C179" i="5"/>
  <c r="C138" i="5"/>
  <c r="C110" i="5"/>
  <c r="C153" i="5"/>
  <c r="C41" i="5"/>
  <c r="C195" i="5"/>
  <c r="C14" i="5"/>
  <c r="C111" i="5"/>
  <c r="C42" i="5"/>
  <c r="C84" i="5"/>
  <c r="C180" i="5"/>
  <c r="C154" i="5"/>
  <c r="C167" i="5"/>
  <c r="C125" i="5"/>
  <c r="C66" i="5"/>
  <c r="C139" i="5"/>
  <c r="C98" i="5"/>
  <c r="C43" i="5"/>
  <c r="C140" i="5"/>
  <c r="C181" i="5"/>
  <c r="C126" i="5"/>
  <c r="C141" i="5"/>
  <c r="C15" i="5"/>
  <c r="C168" i="5"/>
  <c r="C85" i="5"/>
  <c r="C112" i="5"/>
  <c r="C67" i="5"/>
  <c r="C196" i="5"/>
  <c r="C155" i="5"/>
  <c r="C169" i="5"/>
  <c r="C127" i="5"/>
  <c r="C99" i="5"/>
  <c r="C182" i="5"/>
  <c r="C183" i="5"/>
  <c r="C197" i="5"/>
  <c r="C68" i="5"/>
  <c r="C69" i="5"/>
  <c r="C70" i="5"/>
  <c r="C113" i="5"/>
  <c r="C71" i="5"/>
  <c r="D47" i="5"/>
  <c r="B45" i="5"/>
  <c r="B46" i="5"/>
  <c r="B47" i="5"/>
  <c r="B49" i="5"/>
  <c r="B52" i="5"/>
  <c r="B53" i="5"/>
  <c r="B54" i="5"/>
  <c r="B55" i="5"/>
  <c r="B56" i="5"/>
  <c r="B57" i="5"/>
  <c r="B142" i="5"/>
  <c r="B115" i="5"/>
  <c r="B156" i="5"/>
  <c r="B128" i="5"/>
  <c r="B87" i="5"/>
  <c r="B18" i="5"/>
  <c r="B116" i="5"/>
  <c r="B117" i="5"/>
  <c r="B170" i="5"/>
  <c r="B31" i="5"/>
  <c r="B72" i="5"/>
  <c r="B143" i="5"/>
  <c r="B89" i="5"/>
  <c r="B32" i="5"/>
  <c r="B130" i="5"/>
  <c r="B73" i="5"/>
  <c r="B118" i="5"/>
  <c r="B157" i="5"/>
  <c r="B131" i="5"/>
  <c r="B33" i="5"/>
  <c r="B119" i="5"/>
  <c r="B20" i="5"/>
  <c r="B100" i="5"/>
  <c r="B21" i="5"/>
  <c r="B22" i="5"/>
  <c r="B5" i="5"/>
  <c r="B101" i="5"/>
  <c r="B184" i="5"/>
  <c r="B144" i="5"/>
  <c r="B59" i="5"/>
  <c r="B34" i="5"/>
  <c r="B23" i="5"/>
  <c r="B185" i="5"/>
  <c r="B160" i="5"/>
  <c r="B186" i="5"/>
  <c r="B134" i="5"/>
  <c r="B161" i="5"/>
  <c r="B145" i="5"/>
  <c r="B6" i="5"/>
  <c r="B163" i="5"/>
  <c r="B173" i="5"/>
  <c r="B174" i="5"/>
  <c r="B175" i="5"/>
  <c r="B187" i="5"/>
  <c r="B90" i="5"/>
  <c r="B146" i="5"/>
  <c r="B36" i="5"/>
  <c r="B188" i="5"/>
  <c r="B37" i="5"/>
  <c r="B77" i="5"/>
  <c r="B91" i="5"/>
  <c r="B176" i="5"/>
  <c r="B25" i="5"/>
  <c r="B191" i="5"/>
  <c r="B92" i="5"/>
  <c r="B26" i="5"/>
  <c r="B27" i="5"/>
  <c r="B8" i="5"/>
  <c r="B147" i="5"/>
  <c r="B61" i="5"/>
  <c r="B135" i="5"/>
  <c r="B93" i="5"/>
  <c r="B136" i="5"/>
  <c r="B104" i="5"/>
  <c r="B10" i="5"/>
  <c r="B11" i="5"/>
  <c r="B12" i="5"/>
  <c r="B122" i="5"/>
  <c r="B39" i="5"/>
  <c r="B148" i="5"/>
  <c r="B165" i="5"/>
  <c r="B28" i="5"/>
  <c r="B79" i="5"/>
  <c r="B96" i="5"/>
  <c r="B123" i="5"/>
  <c r="B13" i="5"/>
  <c r="B150" i="5"/>
  <c r="B81" i="5"/>
  <c r="B105" i="5"/>
  <c r="B63" i="5"/>
  <c r="B178" i="5"/>
  <c r="B106" i="5"/>
  <c r="B64" i="5"/>
  <c r="B137" i="5"/>
  <c r="B152" i="5"/>
  <c r="B29" i="5"/>
  <c r="B193" i="5"/>
  <c r="B83" i="5"/>
  <c r="B108" i="5"/>
  <c r="B109" i="5"/>
  <c r="B179" i="5"/>
  <c r="B138" i="5"/>
  <c r="B153" i="5"/>
  <c r="B14" i="5"/>
  <c r="B111" i="5"/>
  <c r="B42" i="5"/>
  <c r="B84" i="5"/>
  <c r="B180" i="5"/>
  <c r="B154" i="5"/>
  <c r="B66" i="5"/>
  <c r="B139" i="5"/>
  <c r="B43" i="5"/>
  <c r="B126" i="5"/>
  <c r="B141" i="5"/>
  <c r="B15" i="5"/>
  <c r="B168" i="5"/>
  <c r="B85" i="5"/>
  <c r="B112" i="5"/>
  <c r="B155" i="5"/>
  <c r="B169" i="5"/>
  <c r="B99" i="5"/>
  <c r="B197" i="5"/>
  <c r="B68" i="5"/>
  <c r="B69" i="5"/>
  <c r="B70" i="5"/>
  <c r="B113" i="5"/>
  <c r="B71" i="5"/>
  <c r="D45" i="5"/>
  <c r="D46" i="5"/>
  <c r="D48" i="5"/>
  <c r="B48" i="5" s="1"/>
  <c r="D49" i="5"/>
  <c r="D50" i="5"/>
  <c r="B50" i="5" s="1"/>
  <c r="D51" i="5"/>
  <c r="B51" i="5" s="1"/>
  <c r="D52" i="5"/>
  <c r="D53" i="5"/>
  <c r="D54" i="5"/>
  <c r="D55" i="5"/>
  <c r="D56" i="5"/>
  <c r="D57" i="5"/>
  <c r="D114" i="5"/>
  <c r="B114" i="5" s="1"/>
  <c r="D86" i="5"/>
  <c r="B86" i="5" s="1"/>
  <c r="D142" i="5"/>
  <c r="D115" i="5"/>
  <c r="D2" i="5"/>
  <c r="B2" i="5" s="1"/>
  <c r="D156" i="5"/>
  <c r="D16" i="5"/>
  <c r="B16" i="5" s="1"/>
  <c r="D17" i="5"/>
  <c r="B17" i="5" s="1"/>
  <c r="D128" i="5"/>
  <c r="D87" i="5"/>
  <c r="D18" i="5"/>
  <c r="D116" i="5"/>
  <c r="D117" i="5"/>
  <c r="D170" i="5"/>
  <c r="D88" i="5"/>
  <c r="B88" i="5" s="1"/>
  <c r="D30" i="5"/>
  <c r="B30" i="5" s="1"/>
  <c r="D31" i="5"/>
  <c r="D72" i="5"/>
  <c r="D129" i="5"/>
  <c r="B129" i="5" s="1"/>
  <c r="D143" i="5"/>
  <c r="D3" i="5"/>
  <c r="B3" i="5" s="1"/>
  <c r="D171" i="5"/>
  <c r="B171" i="5" s="1"/>
  <c r="D89" i="5"/>
  <c r="D32" i="5"/>
  <c r="D130" i="5"/>
  <c r="D73" i="5"/>
  <c r="D118" i="5"/>
  <c r="D157" i="5"/>
  <c r="D4" i="5"/>
  <c r="B4" i="5" s="1"/>
  <c r="D158" i="5"/>
  <c r="B158" i="5" s="1"/>
  <c r="D131" i="5"/>
  <c r="D33" i="5"/>
  <c r="D132" i="5"/>
  <c r="B132" i="5" s="1"/>
  <c r="D119" i="5"/>
  <c r="D159" i="5"/>
  <c r="B159" i="5" s="1"/>
  <c r="D19" i="5"/>
  <c r="B19" i="5" s="1"/>
  <c r="D20" i="5"/>
  <c r="D100" i="5"/>
  <c r="D21" i="5"/>
  <c r="D22" i="5"/>
  <c r="D5" i="5"/>
  <c r="D101" i="5"/>
  <c r="D120" i="5"/>
  <c r="B120" i="5" s="1"/>
  <c r="D74" i="5"/>
  <c r="B74" i="5" s="1"/>
  <c r="D184" i="5"/>
  <c r="D144" i="5"/>
  <c r="D58" i="5"/>
  <c r="B58" i="5" s="1"/>
  <c r="D59" i="5"/>
  <c r="D133" i="5"/>
  <c r="B133" i="5" s="1"/>
  <c r="D75" i="5"/>
  <c r="B75" i="5" s="1"/>
  <c r="D34" i="5"/>
  <c r="D23" i="5"/>
  <c r="D185" i="5"/>
  <c r="D160" i="5"/>
  <c r="D186" i="5"/>
  <c r="D134" i="5"/>
  <c r="D35" i="5"/>
  <c r="B35" i="5" s="1"/>
  <c r="D172" i="5"/>
  <c r="B172" i="5" s="1"/>
  <c r="D161" i="5"/>
  <c r="D145" i="5"/>
  <c r="D24" i="5"/>
  <c r="B24" i="5" s="1"/>
  <c r="D6" i="5"/>
  <c r="D162" i="5"/>
  <c r="B162" i="5" s="1"/>
  <c r="D76" i="5"/>
  <c r="B76" i="5" s="1"/>
  <c r="D163" i="5"/>
  <c r="D173" i="5"/>
  <c r="D174" i="5"/>
  <c r="D175" i="5"/>
  <c r="D187" i="5"/>
  <c r="D90" i="5"/>
  <c r="D60" i="5"/>
  <c r="B60" i="5" s="1"/>
  <c r="D7" i="5"/>
  <c r="B7" i="5" s="1"/>
  <c r="D146" i="5"/>
  <c r="D36" i="5"/>
  <c r="D102" i="5"/>
  <c r="B102" i="5" s="1"/>
  <c r="D188" i="5"/>
  <c r="D189" i="5"/>
  <c r="B189" i="5" s="1"/>
  <c r="D190" i="5"/>
  <c r="B190" i="5" s="1"/>
  <c r="D37" i="5"/>
  <c r="D77" i="5"/>
  <c r="D91" i="5"/>
  <c r="D176" i="5"/>
  <c r="D25" i="5"/>
  <c r="D191" i="5"/>
  <c r="D103" i="5"/>
  <c r="B103" i="5" s="1"/>
  <c r="D38" i="5"/>
  <c r="B38" i="5" s="1"/>
  <c r="D92" i="5"/>
  <c r="D26" i="5"/>
  <c r="D192" i="5"/>
  <c r="B192" i="5" s="1"/>
  <c r="D27" i="5"/>
  <c r="D177" i="5"/>
  <c r="B177" i="5" s="1"/>
  <c r="D78" i="5"/>
  <c r="B78" i="5" s="1"/>
  <c r="D8" i="5"/>
  <c r="D147" i="5"/>
  <c r="D61" i="5"/>
  <c r="D135" i="5"/>
  <c r="D93" i="5"/>
  <c r="D136" i="5"/>
  <c r="D9" i="5"/>
  <c r="B9" i="5" s="1"/>
  <c r="D94" i="5"/>
  <c r="B94" i="5" s="1"/>
  <c r="D104" i="5"/>
  <c r="D10" i="5"/>
  <c r="D95" i="5"/>
  <c r="B95" i="5" s="1"/>
  <c r="D11" i="5"/>
  <c r="D121" i="5"/>
  <c r="B121" i="5" s="1"/>
  <c r="D164" i="5"/>
  <c r="B164" i="5" s="1"/>
  <c r="D12" i="5"/>
  <c r="D122" i="5"/>
  <c r="D39" i="5"/>
  <c r="D148" i="5"/>
  <c r="D165" i="5"/>
  <c r="D28" i="5"/>
  <c r="D149" i="5"/>
  <c r="B149" i="5" s="1"/>
  <c r="D40" i="5"/>
  <c r="B40" i="5" s="1"/>
  <c r="D79" i="5"/>
  <c r="D96" i="5"/>
  <c r="D80" i="5"/>
  <c r="B80" i="5" s="1"/>
  <c r="D123" i="5"/>
  <c r="D97" i="5"/>
  <c r="B97" i="5" s="1"/>
  <c r="D62" i="5"/>
  <c r="B62" i="5" s="1"/>
  <c r="D13" i="5"/>
  <c r="D150" i="5"/>
  <c r="D81" i="5"/>
  <c r="D105" i="5"/>
  <c r="D63" i="5"/>
  <c r="D178" i="5"/>
  <c r="D166" i="5"/>
  <c r="B166" i="5" s="1"/>
  <c r="D124" i="5"/>
  <c r="B124" i="5" s="1"/>
  <c r="D106" i="5"/>
  <c r="D64" i="5"/>
  <c r="D107" i="5"/>
  <c r="B107" i="5" s="1"/>
  <c r="D137" i="5"/>
  <c r="D151" i="5"/>
  <c r="B151" i="5" s="1"/>
  <c r="D82" i="5"/>
  <c r="B82" i="5" s="1"/>
  <c r="D152" i="5"/>
  <c r="D29" i="5"/>
  <c r="D193" i="5"/>
  <c r="D83" i="5"/>
  <c r="D108" i="5"/>
  <c r="D109" i="5"/>
  <c r="D65" i="5"/>
  <c r="B65" i="5" s="1"/>
  <c r="D194" i="5"/>
  <c r="B194" i="5" s="1"/>
  <c r="D179" i="5"/>
  <c r="D138" i="5"/>
  <c r="D110" i="5"/>
  <c r="B110" i="5" s="1"/>
  <c r="D153" i="5"/>
  <c r="D41" i="5"/>
  <c r="B41" i="5" s="1"/>
  <c r="D195" i="5"/>
  <c r="B195" i="5" s="1"/>
  <c r="D14" i="5"/>
  <c r="D111" i="5"/>
  <c r="D42" i="5"/>
  <c r="D84" i="5"/>
  <c r="D180" i="5"/>
  <c r="D154" i="5"/>
  <c r="D167" i="5"/>
  <c r="B167" i="5" s="1"/>
  <c r="D125" i="5"/>
  <c r="B125" i="5" s="1"/>
  <c r="D66" i="5"/>
  <c r="D139" i="5"/>
  <c r="D98" i="5"/>
  <c r="B98" i="5" s="1"/>
  <c r="D43" i="5"/>
  <c r="D140" i="5"/>
  <c r="B140" i="5" s="1"/>
  <c r="D181" i="5"/>
  <c r="B181" i="5" s="1"/>
  <c r="D126" i="5"/>
  <c r="D141" i="5"/>
  <c r="D15" i="5"/>
  <c r="D168" i="5"/>
  <c r="D85" i="5"/>
  <c r="D112" i="5"/>
  <c r="D67" i="5"/>
  <c r="B67" i="5" s="1"/>
  <c r="D196" i="5"/>
  <c r="B196" i="5" s="1"/>
  <c r="D155" i="5"/>
  <c r="D169" i="5"/>
  <c r="D127" i="5"/>
  <c r="B127" i="5" s="1"/>
  <c r="D99" i="5"/>
  <c r="D182" i="5"/>
  <c r="B182" i="5" s="1"/>
  <c r="D183" i="5"/>
  <c r="B183" i="5" s="1"/>
  <c r="D197" i="5"/>
  <c r="D68" i="5"/>
  <c r="D69" i="5"/>
  <c r="D70" i="5"/>
  <c r="D113" i="5"/>
  <c r="D71" i="5"/>
  <c r="D44" i="5"/>
  <c r="B44" i="5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2" i="2"/>
</calcChain>
</file>

<file path=xl/sharedStrings.xml><?xml version="1.0" encoding="utf-8"?>
<sst xmlns="http://schemas.openxmlformats.org/spreadsheetml/2006/main" count="2309" uniqueCount="507">
  <si>
    <t>DK_DEVICES</t>
  </si>
  <si>
    <t>GR_DEVICES</t>
  </si>
  <si>
    <t>RO_DEVICES</t>
  </si>
  <si>
    <t>PT_DEVICES</t>
  </si>
  <si>
    <t>CA_DEVICES</t>
  </si>
  <si>
    <t>IT_DEVICES</t>
  </si>
  <si>
    <t>AU_DEVICES</t>
  </si>
  <si>
    <t>KZ_DEVICES</t>
  </si>
  <si>
    <t>LT_DEVICES</t>
  </si>
  <si>
    <t>NZ_DEVICES</t>
  </si>
  <si>
    <t>SE_DEVICES</t>
  </si>
  <si>
    <t>IL_DEVICES</t>
  </si>
  <si>
    <t>NL_DEVICES</t>
  </si>
  <si>
    <t>UA_DEVICES</t>
  </si>
  <si>
    <t>Table Name</t>
  </si>
  <si>
    <t>Comment</t>
  </si>
  <si>
    <t>Done</t>
  </si>
  <si>
    <t>0 rows from DISP</t>
  </si>
  <si>
    <t>SE_GIFTCERTIFICATES</t>
  </si>
  <si>
    <t>PT_GIFTCERTIFICATES</t>
  </si>
  <si>
    <t>IT_GIFTCERTIFICATES</t>
  </si>
  <si>
    <t>NL_GIFTCERTIFICATES</t>
  </si>
  <si>
    <t>RO_GIFTCERTIFICATES</t>
  </si>
  <si>
    <t>AU_GIFTCERTIFICATES</t>
  </si>
  <si>
    <t>DK_GIFTCERTIFICATES</t>
  </si>
  <si>
    <t>IL_GIFTCERTIFICATES</t>
  </si>
  <si>
    <t>GR_GIFTCERTIFICATES</t>
  </si>
  <si>
    <t>CA_GIFTCERTIFICATES</t>
  </si>
  <si>
    <t>NZ_GIFTCERTIFICATES</t>
  </si>
  <si>
    <t>LT_GIFTCERTIFICATES</t>
  </si>
  <si>
    <t>UA_GIFTCERTIFICATES</t>
  </si>
  <si>
    <t>KZ_GIFTCERTIFICATES</t>
  </si>
  <si>
    <t>Entity</t>
  </si>
  <si>
    <t>DEVICES</t>
  </si>
  <si>
    <t>GIFTCERTIFICATES</t>
  </si>
  <si>
    <t>UA_ORDERHISTORY</t>
  </si>
  <si>
    <t>RO_ORDERHISTORY</t>
  </si>
  <si>
    <t>LT_ORDERHISTORY</t>
  </si>
  <si>
    <t>NL_ORDERHISTORY</t>
  </si>
  <si>
    <t>NZ_ORDERHISTORY</t>
  </si>
  <si>
    <t>IT_ORDERHISTORY</t>
  </si>
  <si>
    <t>PT_ORDERHISTORY</t>
  </si>
  <si>
    <t>GR_ORDERHISTORY</t>
  </si>
  <si>
    <t>SE_ORDERHISTORY</t>
  </si>
  <si>
    <t>AU_ORDERHISTORY</t>
  </si>
  <si>
    <t>DK_ORDERHISTORY</t>
  </si>
  <si>
    <t>IL_ORDERHISTORY</t>
  </si>
  <si>
    <t>KZ_ORDERHISTORY</t>
  </si>
  <si>
    <t>CA_ORDERHISTORY</t>
  </si>
  <si>
    <t>ORDERHISTORY</t>
  </si>
  <si>
    <t>AU_ORDERITEMS</t>
  </si>
  <si>
    <t>UA_ORDERITEMS</t>
  </si>
  <si>
    <t>LT_ORDERITEMS</t>
  </si>
  <si>
    <t>NL_ORDERITEMS</t>
  </si>
  <si>
    <t>GR_ORDERITEMS</t>
  </si>
  <si>
    <t>DK_ORDERITEMS</t>
  </si>
  <si>
    <t>CA_ORDERITEMS</t>
  </si>
  <si>
    <t>PT_ORDERITEMS</t>
  </si>
  <si>
    <t>IL_ORDERITEMS</t>
  </si>
  <si>
    <t>KZ_ORDERITEMS</t>
  </si>
  <si>
    <t>SE_ORDERITEMS</t>
  </si>
  <si>
    <t>IT_ORDERITEMS</t>
  </si>
  <si>
    <t>NZ_ORDERITEMS</t>
  </si>
  <si>
    <t>RO_ORDERITEMS</t>
  </si>
  <si>
    <t>ORDERITEMS</t>
  </si>
  <si>
    <t>AU_ORDERS</t>
  </si>
  <si>
    <t>UA_ORDERS</t>
  </si>
  <si>
    <t>LT_ORDERS</t>
  </si>
  <si>
    <t>NL_ORDERS</t>
  </si>
  <si>
    <t>GR_ORDERS</t>
  </si>
  <si>
    <t>DK_ORDERS</t>
  </si>
  <si>
    <t>CA_ORDERS</t>
  </si>
  <si>
    <t>PT_ORDERS</t>
  </si>
  <si>
    <t>IL_ORDERS</t>
  </si>
  <si>
    <t>KZ_ORDERS</t>
  </si>
  <si>
    <t>SE_ORDERS</t>
  </si>
  <si>
    <t>IT_ORDERS</t>
  </si>
  <si>
    <t>NZ_ORDERS</t>
  </si>
  <si>
    <t>RO_ORDERS</t>
  </si>
  <si>
    <t>ORDERS</t>
  </si>
  <si>
    <t>AU_PROFILEFIELDS</t>
  </si>
  <si>
    <t>UA_PROFILEFIELDS</t>
  </si>
  <si>
    <t>LT_PROFILEFIELDS</t>
  </si>
  <si>
    <t>NL_PROFILEFIELDS</t>
  </si>
  <si>
    <t>GR_PROFILEFIELDS</t>
  </si>
  <si>
    <t>DK_PROFILEFIELDS</t>
  </si>
  <si>
    <t>CA_PROFILEFIELDS</t>
  </si>
  <si>
    <t>PT_PROFILEFIELDS</t>
  </si>
  <si>
    <t>IL_PROFILEFIELDS</t>
  </si>
  <si>
    <t>KZ_PROFILEFIELDS</t>
  </si>
  <si>
    <t>SE_PROFILEFIELDS</t>
  </si>
  <si>
    <t>IT_PROFILEFIELDS</t>
  </si>
  <si>
    <t>NZ_PROFILEFIELDS</t>
  </si>
  <si>
    <t>RO_PROFILEFIELDS</t>
  </si>
  <si>
    <t>PROFILEFIELDS</t>
  </si>
  <si>
    <t>PROMOTIONS</t>
  </si>
  <si>
    <t>AU_PROMOTIONS</t>
  </si>
  <si>
    <t>UA_PROMOTIONS</t>
  </si>
  <si>
    <t>LT_PROMOTIONS</t>
  </si>
  <si>
    <t>NL_PROMOTIONS</t>
  </si>
  <si>
    <t>GR_PROMOTIONS</t>
  </si>
  <si>
    <t>DK_PROMOTIONS</t>
  </si>
  <si>
    <t>CA_PROMOTIONS</t>
  </si>
  <si>
    <t>PT_PROMOTIONS</t>
  </si>
  <si>
    <t>IL_PROMOTIONS</t>
  </si>
  <si>
    <t>KZ_PROMOTIONS</t>
  </si>
  <si>
    <t>SE_PROMOTIONS</t>
  </si>
  <si>
    <t>IT_PROMOTIONS</t>
  </si>
  <si>
    <t>NZ_PROMOTIONS</t>
  </si>
  <si>
    <t>RO_PROMOTIONS</t>
  </si>
  <si>
    <t>SEASURVEYS</t>
  </si>
  <si>
    <t>AU_SEASURVEYS</t>
  </si>
  <si>
    <t>UA_SEASURVEYS</t>
  </si>
  <si>
    <t>LT_SEASURVEYS</t>
  </si>
  <si>
    <t>NL_SEASURVEYS</t>
  </si>
  <si>
    <t>GR_SEASURVEYS</t>
  </si>
  <si>
    <t>DK_SEASURVEYS</t>
  </si>
  <si>
    <t>CA_SEASURVEYS</t>
  </si>
  <si>
    <t>PT_SEASURVEYS</t>
  </si>
  <si>
    <t>IL_SEASURVEYS</t>
  </si>
  <si>
    <t>KZ_SEASURVEYS</t>
  </si>
  <si>
    <t>SE_SEASURVEYS</t>
  </si>
  <si>
    <t>IT_SEASURVEYS</t>
  </si>
  <si>
    <t>NZ_SEASURVEYS</t>
  </si>
  <si>
    <t>RO_SEASURVEYS</t>
  </si>
  <si>
    <t>AU_SHIPMENTS</t>
  </si>
  <si>
    <t>UA_SHIPMENTS</t>
  </si>
  <si>
    <t>LT_SHIPMENTS</t>
  </si>
  <si>
    <t>NL_SHIPMENTS</t>
  </si>
  <si>
    <t>GR_SHIPMENTS</t>
  </si>
  <si>
    <t>DK_SHIPMENTS</t>
  </si>
  <si>
    <t>CA_SHIPMENTS</t>
  </si>
  <si>
    <t>PT_SHIPMENTS</t>
  </si>
  <si>
    <t>IL_SHIPMENTS</t>
  </si>
  <si>
    <t>KZ_SHIPMENTS</t>
  </si>
  <si>
    <t>SE_SHIPMENTS</t>
  </si>
  <si>
    <t>IT_SHIPMENTS</t>
  </si>
  <si>
    <t>NZ_SHIPMENTS</t>
  </si>
  <si>
    <t>RO_SHIPMENTS</t>
  </si>
  <si>
    <t>SHIPMENTS</t>
  </si>
  <si>
    <t>AU_TOUCHPOINTS</t>
  </si>
  <si>
    <t>UA_TOUCHPOINTS</t>
  </si>
  <si>
    <t>LT_TOUCHPOINTS</t>
  </si>
  <si>
    <t>NL_TOUCHPOINTS</t>
  </si>
  <si>
    <t>GR_TOUCHPOINTS</t>
  </si>
  <si>
    <t>DK_TOUCHPOINTS</t>
  </si>
  <si>
    <t>CA_TOUCHPOINTS</t>
  </si>
  <si>
    <t>PT_TOUCHPOINTS</t>
  </si>
  <si>
    <t>IL_TOUCHPOINTS</t>
  </si>
  <si>
    <t>KZ_TOUCHPOINTS</t>
  </si>
  <si>
    <t>SE_TOUCHPOINTS</t>
  </si>
  <si>
    <t>IT_TOUCHPOINTS</t>
  </si>
  <si>
    <t>NZ_TOUCHPOINTS</t>
  </si>
  <si>
    <t>RO_TOUCHPOINTS</t>
  </si>
  <si>
    <t>TOUCHPOINTS</t>
  </si>
  <si>
    <t>AU_SPENDINGS</t>
  </si>
  <si>
    <t>UA_SPENDINGS</t>
  </si>
  <si>
    <t>LT_SPENDINGS</t>
  </si>
  <si>
    <t>NL_SPENDINGS</t>
  </si>
  <si>
    <t>GR_SPENDINGS</t>
  </si>
  <si>
    <t>DK_SPENDINGS</t>
  </si>
  <si>
    <t>CA_SPENDINGS</t>
  </si>
  <si>
    <t>PT_SPENDINGS</t>
  </si>
  <si>
    <t>IL_SPENDINGS</t>
  </si>
  <si>
    <t>KZ_SPENDINGS</t>
  </si>
  <si>
    <t>SE_SPENDINGS</t>
  </si>
  <si>
    <t>IT_SPENDINGS</t>
  </si>
  <si>
    <t>NZ_SPENDINGS</t>
  </si>
  <si>
    <t>RO_SPENDINGS</t>
  </si>
  <si>
    <t>SPENDINGS</t>
  </si>
  <si>
    <t>REFERRALCODEPERGODFATHER</t>
  </si>
  <si>
    <t>AU_REFERRALCODEPERGODFATHER</t>
  </si>
  <si>
    <t>UA_REFERRALCODEPERGODFATHER</t>
  </si>
  <si>
    <t>LT_REFERRALCODEPERGODFATHER</t>
  </si>
  <si>
    <t>NL_REFERRALCODEPERGODFATHER</t>
  </si>
  <si>
    <t>GR_REFERRALCODEPERGODFATHER</t>
  </si>
  <si>
    <t>DK_REFERRALCODEPERGODFATHER</t>
  </si>
  <si>
    <t>CA_REFERRALCODEPERGODFATHER</t>
  </si>
  <si>
    <t>PT_REFERRALCODEPERGODFATHER</t>
  </si>
  <si>
    <t>IL_REFERRALCODEPERGODFATHER</t>
  </si>
  <si>
    <t>KZ_REFERRALCODEPERGODFATHER</t>
  </si>
  <si>
    <t>SE_REFERRALCODEPERGODFATHER</t>
  </si>
  <si>
    <t>IT_REFERRALCODEPERGODFATHER</t>
  </si>
  <si>
    <t>NZ_REFERRALCODEPERGODFATHER</t>
  </si>
  <si>
    <t>RO_REFERRALCODEPERGODFATHER</t>
  </si>
  <si>
    <t>AU_PRODUCTS</t>
  </si>
  <si>
    <t>UA_PRODUCTS</t>
  </si>
  <si>
    <t>LT_PRODUCTS</t>
  </si>
  <si>
    <t>NL_PRODUCTS</t>
  </si>
  <si>
    <t>GR_PRODUCTS</t>
  </si>
  <si>
    <t>DK_PRODUCTS</t>
  </si>
  <si>
    <t>CA_PRODUCTS</t>
  </si>
  <si>
    <t>PT_PRODUCTS</t>
  </si>
  <si>
    <t>IL_PRODUCTS</t>
  </si>
  <si>
    <t>KZ_PRODUCTS</t>
  </si>
  <si>
    <t>SE_PRODUCTS</t>
  </si>
  <si>
    <t>IT_PRODUCTS</t>
  </si>
  <si>
    <t>NZ_PRODUCTS</t>
  </si>
  <si>
    <t>RO_PRODUCTS</t>
  </si>
  <si>
    <t>AU_EARNINGS</t>
  </si>
  <si>
    <t>UA_EARNINGS</t>
  </si>
  <si>
    <t>LT_EARNINGS</t>
  </si>
  <si>
    <t>NL_EARNINGS</t>
  </si>
  <si>
    <t>GR_EARNINGS</t>
  </si>
  <si>
    <t>DK_EARNINGS</t>
  </si>
  <si>
    <t>CA_EARNINGS</t>
  </si>
  <si>
    <t>PT_EARNINGS</t>
  </si>
  <si>
    <t>IL_EARNINGS</t>
  </si>
  <si>
    <t>KZ_EARNINGS</t>
  </si>
  <si>
    <t>SE_EARNINGS</t>
  </si>
  <si>
    <t>IT_EARNINGS</t>
  </si>
  <si>
    <t>NZ_EARNINGS</t>
  </si>
  <si>
    <t>RO_EARNINGS</t>
  </si>
  <si>
    <t>PRODUCTS</t>
  </si>
  <si>
    <t>EARNINGS</t>
  </si>
  <si>
    <t>Order</t>
  </si>
  <si>
    <t>No</t>
  </si>
  <si>
    <t>Status Development DEV</t>
  </si>
  <si>
    <t>Status Development QAS</t>
  </si>
  <si>
    <t>Market Code</t>
  </si>
  <si>
    <t>DK</t>
  </si>
  <si>
    <t>GR</t>
  </si>
  <si>
    <t>RO</t>
  </si>
  <si>
    <t>PT</t>
  </si>
  <si>
    <t>CA</t>
  </si>
  <si>
    <t>IT</t>
  </si>
  <si>
    <t>AU</t>
  </si>
  <si>
    <t>KZ</t>
  </si>
  <si>
    <t>LT</t>
  </si>
  <si>
    <t>NZ</t>
  </si>
  <si>
    <t>SE</t>
  </si>
  <si>
    <t>IL</t>
  </si>
  <si>
    <t>NL</t>
  </si>
  <si>
    <t>UA</t>
  </si>
  <si>
    <t>edp_consumer_dcs_consumer_dcs_nl_orderhistory_lz • edp_consumer</t>
  </si>
  <si>
    <t>edp_consumer_dcs_consumer_dcs_se_orderhistory_lz • edp_consumer</t>
  </si>
  <si>
    <t>edp_consumer_dcs_consumer_dcs_au_orderhistory_lz • edp_consumer</t>
  </si>
  <si>
    <t>edp_consumer_dcs_consumer_dcs_ca_orderhistory_lz • edp_consumer</t>
  </si>
  <si>
    <t>edp_consumer_dcs_consumer_dcs_pt_orderhistory_lz • edp_consumer</t>
  </si>
  <si>
    <t>edp_consumer_dcs_consumer_dcs_dk_orderhistory_lz • edp_consumer</t>
  </si>
  <si>
    <t>edp_consumer_dcs_consumer_dcs_ro_orderhistory_lz • edp_consumer</t>
  </si>
  <si>
    <t>edp_consumer_dcs_consumer_dcs_gr_orderhistory_lz • edp_consumer</t>
  </si>
  <si>
    <t>edp_consumer_dcs_consumer_dcs_ua_orderhistory_lz • edp_consumer</t>
  </si>
  <si>
    <t>edp_consumer_dcs_consumer_dcs_il_orderhistory_lz • edp_consumer</t>
  </si>
  <si>
    <t>edp_consumer_dcs_consumer_dcs_lt_orderhistory_lz • edp_consumer</t>
  </si>
  <si>
    <t>edp_consumer_dcs_consumer_dcs_kz_orderhistory_lz • edp_consumer</t>
  </si>
  <si>
    <t>edp_consumer_dcs_consumer_dcs_nz_orderhistory_lz • edp_consumer</t>
  </si>
  <si>
    <t>edp_consumer_dcs_consumer_dcs_it_orderhistory_lz • edp_consumer</t>
  </si>
  <si>
    <t>edp_consumer_dcs_consumer_dcs_se_promotions_lz • edp_consumer</t>
  </si>
  <si>
    <t>edp_consumer_dcs_consumer_dcs_gr_products_lz • edp_consumer</t>
  </si>
  <si>
    <t>edp_consumer_dcs_consumer_dcs_pt_seasurveys_lz • edp_consumer</t>
  </si>
  <si>
    <t>edp_consumer_dcs_consumer_dcs_ro_promotions_lz • edp_consumer</t>
  </si>
  <si>
    <t>edp_consumer_dcs_consumer_dcs_il_devices_lz • edp_consumer</t>
  </si>
  <si>
    <t>edp_consumer_dcs_consumer_dcs_lt_shipments_lz • edp_consumer</t>
  </si>
  <si>
    <t>edp_consumer_dcs_consumer_dcs_gr_earnings_lz • edp_consumer</t>
  </si>
  <si>
    <t>edp_consumer_dcs_consumer_dcs_dk_earnings_lz • edp_consumer</t>
  </si>
  <si>
    <t>edp_consumer_dcs_consumer_dcs_nz_referralcodepergodfather_lz • edp_consumer</t>
  </si>
  <si>
    <t>edp_consumer_dcs_consumer_dcs_it_products_lz • edp_consumer</t>
  </si>
  <si>
    <t>edp_consumer_dcs_consumer_dcs_ro_earnings_lz • edp_consumer</t>
  </si>
  <si>
    <t>edp_consumer_dcs_consumer_dcs_lt_promotions_lz • edp_consumer</t>
  </si>
  <si>
    <t>edp_consumer_dcs_consumer_dcs_gr_promotions_lz • edp_consumer</t>
  </si>
  <si>
    <t>edp_consumer_dcs_consumer_dcs_it_spendings_lz • edp_consumer</t>
  </si>
  <si>
    <t>edp_consumer_dcs_consumer_dcs_dk_products_lz • edp_consumer</t>
  </si>
  <si>
    <t>edp_consumer_dcs_consumer_dcs_ro_giftcertificates_lz • edp_consumer</t>
  </si>
  <si>
    <t>edp_consumer_dcs_consumer_dcs_nl_giftcertificates_lz • edp_consumer</t>
  </si>
  <si>
    <t>edp_consumer_dcs_consumer_dcs_il_orders_lz • edp_consumer</t>
  </si>
  <si>
    <t>edp_consumer_dcs_consumer_dcs_au_referralcodepergodfather_lz • edp_consumer</t>
  </si>
  <si>
    <t>edp_consumer_dcs_consumer_dcs_se_seasurveys_lz • edp_consumer</t>
  </si>
  <si>
    <t>edp_consumer_dcs_consumer_dcs_nl_devices_lz • edp_consumer</t>
  </si>
  <si>
    <t>edp_consumer_dcs_consumer_dcs_au_spendings_lz • edp_consumer</t>
  </si>
  <si>
    <t>edp_consumer_dcs_consumer_dcs_lt_products_lz • edp_consumer</t>
  </si>
  <si>
    <t>edp_consumer_dcs_consumer_dcs_kz_giftcertificates_lz • edp_consumer</t>
  </si>
  <si>
    <t>edp_consumer_dcs_consumer_dcs_lt_referralcodepergodfather_lz • edp_consumer</t>
  </si>
  <si>
    <t>edp_consumer_dcs_consumer_dcs_se_orders_lz • edp_consumer</t>
  </si>
  <si>
    <t>edp_consumer_dcs_consumer_dcs_ca_promotions_lz • edp_consumer</t>
  </si>
  <si>
    <t>edp_consumer_dcs_consumer_dcs_ua_shipments_lz • edp_consumer</t>
  </si>
  <si>
    <t>edp_consumer_dcs_consumer_dcs_it_devices_lz • edp_consumer</t>
  </si>
  <si>
    <t>edp_consumer_dcs_consumer_dcs_it_shipments_lz • edp_consumer</t>
  </si>
  <si>
    <t>edp_consumer_dcs_consumer_dcs_it_referralcodepergodfather_lz • edp_consumer</t>
  </si>
  <si>
    <t>edp_consumer_dcs_consumer_dcs_lt_giftcertificates_lz • edp_consumer</t>
  </si>
  <si>
    <t>edp_consumer_dcs_consumer_dcs_ro_referralcodepergodfather_lz • edp_consumer</t>
  </si>
  <si>
    <t>edp_consumer_dcs_consumer_dcs_il_promotions_lz • edp_consumer</t>
  </si>
  <si>
    <t>edp_consumer_dcs_consumer_dcs_ca_shipments_lz • edp_consumer</t>
  </si>
  <si>
    <t>edp_consumer_dcs_consumer_dcs_kz_earnings_lz • edp_consumer</t>
  </si>
  <si>
    <t>edp_consumer_dcs_consumer_dcs_pt_earnings_lz • edp_consumer</t>
  </si>
  <si>
    <t>edp_consumer_dcs_consumer_dcs_nz_profilefields_lz • edp_consumer</t>
  </si>
  <si>
    <t>edp_consumer_dcs_consumer_dcs_lt_earnings_lz • edp_consumer</t>
  </si>
  <si>
    <t>edp_consumer_dcs_consumer_dcs_it_earnings_lz • edp_consumer</t>
  </si>
  <si>
    <t>edp_consumer_dcs_consumer_dcs_lt_devices_lz • edp_consumer</t>
  </si>
  <si>
    <t>edp_consumer_dcs_consumer_dcs_ua_profilefields_lz • edp_consumer</t>
  </si>
  <si>
    <t>edp_consumer_dcs_consumer_dcs_ua_promotions_lz • edp_consumer</t>
  </si>
  <si>
    <t>edp_consumer_dcs_consumer_dcs_it_orders_lz • edp_consumer</t>
  </si>
  <si>
    <t>edp_consumer_dcs_consumer_dcs_it_touchpoints_lz • edp_consumer</t>
  </si>
  <si>
    <t>edp_consumer_dcs_consumer_dcs_nl_seasurveys_lz • edp_consumer</t>
  </si>
  <si>
    <t>edp_consumer_dcs_consumer_dcs_ro_orderitems_lz • edp_consumer</t>
  </si>
  <si>
    <t>edp_consumer_dcs_consumer_dcs_nz_orderitems_lz • edp_consumer</t>
  </si>
  <si>
    <t>edp_consumer_dcs_consumer_dcs_il_referralcodepergodfather_lz • edp_consumer</t>
  </si>
  <si>
    <t>edp_consumer_dcs_consumer_dcs_nl_orders_lz • edp_consumer</t>
  </si>
  <si>
    <t>edp_consumer_dcs_consumer_dcs_il_giftcertificates_lz • edp_consumer</t>
  </si>
  <si>
    <t>edp_consumer_dcs_consumer_dcs_nz_earnings_lz • edp_consumer</t>
  </si>
  <si>
    <t>edp_consumer_dcs_consumer_dcs_se_touchpoints_lz • edp_consumer</t>
  </si>
  <si>
    <t>edp_consumer_dcs_consumer_dcs_nl_shipments_lz • edp_consumer</t>
  </si>
  <si>
    <t>edp_consumer_dcs_consumer_dcs_ro_touchpoints_lz • edp_consumer</t>
  </si>
  <si>
    <t>edp_consumer_dcs_consumer_dcs_kz_referralcodepergodfather_lz • edp_consumer</t>
  </si>
  <si>
    <t>edp_consumer_dcs_consumer_dcs_au_giftcertificates_lz • edp_consumer</t>
  </si>
  <si>
    <t>edp_consumer_dcs_consumer_dcs_nz_spendings_lz • edp_consumer</t>
  </si>
  <si>
    <t>edp_consumer_dcs_consumer_dcs_kz_shipments_lz • edp_consumer</t>
  </si>
  <si>
    <t>edp_consumer_dcs_consumer_dcs_gr_seasurveys_lz • edp_consumer</t>
  </si>
  <si>
    <t>edp_consumer_dcs_consumer_dcs_il_earnings_lz • edp_consumer</t>
  </si>
  <si>
    <t>edp_consumer_dcs_consumer_dcs_nz_devices_lz • edp_consumer</t>
  </si>
  <si>
    <t>edp_consumer_dcs_consumer_dcs_dk_shipments_lz • edp_consumer</t>
  </si>
  <si>
    <t>edp_consumer_dcs_consumer_dcs_gr_orders_lz • edp_consumer</t>
  </si>
  <si>
    <t>edp_consumer_dcs_consumer_dcs_pt_shipments_lz • edp_consumer</t>
  </si>
  <si>
    <t>edp_consumer_dcs_consumer_dcs_dk_spendings_lz • edp_consumer</t>
  </si>
  <si>
    <t>edp_consumer_dcs_consumer_dcs_gr_spendings_lz • edp_consumer</t>
  </si>
  <si>
    <t>edp_consumer_dcs_consumer_dcs_il_spendings_lz • edp_consumer</t>
  </si>
  <si>
    <t>edp_consumer_dcs_consumer_dcs_au_touchpoints_lz • edp_consumer</t>
  </si>
  <si>
    <t>edp_consumer_dcs_consumer_dcs_ua_products_lz • edp_consumer</t>
  </si>
  <si>
    <t>edp_consumer_dcs_consumer_dcs_ua_orderitems_lz • edp_consumer</t>
  </si>
  <si>
    <t>edp_consumer_dcs_consumer_dcs_kz_devices_lz • edp_consumer</t>
  </si>
  <si>
    <t>edp_consumer_dcs_consumer_dcs_lt_seasurveys_lz • edp_consumer</t>
  </si>
  <si>
    <t>edp_consumer_dcs_consumer_dcs_gr_giftcertificates_lz • edp_consumer</t>
  </si>
  <si>
    <t>edp_consumer_dcs_consumer_dcs_it_profilefields_lz • edp_consumer</t>
  </si>
  <si>
    <t>edp_consumer_dcs_consumer_dcs_il_touchpoints_lz • edp_consumer</t>
  </si>
  <si>
    <t>edp_consumer_dcs_consumer_dcs_nl_touchpoints_lz • edp_consumer</t>
  </si>
  <si>
    <t>edp_consumer_dcs_consumer_dcs_dk_touchpoints_lz • edp_consumer</t>
  </si>
  <si>
    <t>edp_consumer_dcs_consumer_dcs_it_giftcertificates_lz • edp_consumer</t>
  </si>
  <si>
    <t>edp_consumer_dcs_consumer_dcs_nz_orders_lz • edp_consumer</t>
  </si>
  <si>
    <t>edp_consumer_dcs_consumer_dcs_il_products_lz • edp_consumer</t>
  </si>
  <si>
    <t>edp_consumer_dcs_consumer_dcs_ua_spendings_lz • edp_consumer</t>
  </si>
  <si>
    <t>edp_consumer_dcs_consumer_dcs_au_earnings_lz • edp_consumer</t>
  </si>
  <si>
    <t>edp_consumer_dcs_consumer_dcs_ca_touchpoints_lz • edp_consumer</t>
  </si>
  <si>
    <t>edp_consumer_dcs_consumer_dcs_au_profilefields_lz • edp_consumer</t>
  </si>
  <si>
    <t>edp_consumer_dcs_consumer_dcs_pt_giftcertificates_lz • edp_consumer</t>
  </si>
  <si>
    <t>edp_consumer_dcs_consumer_dcs_ca_products_lz • edp_consumer</t>
  </si>
  <si>
    <t>edp_consumer_dcs_consumer_dcs_se_earnings_lz • edp_consumer</t>
  </si>
  <si>
    <t>edp_consumer_dcs_consumer_dcs_kz_touchpoints_lz • edp_consumer</t>
  </si>
  <si>
    <t>edp_consumer_dcs_consumer_dcs_nl_earnings_lz • edp_consumer</t>
  </si>
  <si>
    <t>edp_consumer_dcs_consumer_dcs_ro_spendings_lz • edp_consumer</t>
  </si>
  <si>
    <t>edp_consumer_dcs_consumer_dcs_lt_orders_lz • edp_consumer</t>
  </si>
  <si>
    <t>edp_consumer_dcs_consumer_dcs_ua_devices_lz • edp_consumer</t>
  </si>
  <si>
    <t>edp_consumer_dcs_consumer_dcs_nz_seasurveys_lz • edp_consumer</t>
  </si>
  <si>
    <t>edp_consumer_dcs_consumer_dcs_ca_orderitems_lz • edp_consumer</t>
  </si>
  <si>
    <t>edp_consumer_dcs_consumer_dcs_pt_referralcodepergodfather_lz • edp_consumer</t>
  </si>
  <si>
    <t>edp_consumer_dcs_consumer_dcs_nz_products_lz • edp_consumer</t>
  </si>
  <si>
    <t>edp_consumer_dcs_consumer_dcs_dk_referralcodepergodfather_lz • edp_consumer</t>
  </si>
  <si>
    <t>edp_consumer_dcs_consumer_dcs_se_devices_lz • edp_consumer</t>
  </si>
  <si>
    <t>edp_consumer_dcs_consumer_dcs_au_products_lz • edp_consumer</t>
  </si>
  <si>
    <t>edp_consumer_dcs_consumer_dcs_il_profilefields_lz • edp_consumer</t>
  </si>
  <si>
    <t>edp_consumer_dcs_consumer_dcs_au_devices_lz • edp_consumer</t>
  </si>
  <si>
    <t>edp_consumer_dcs_consumer_dcs_nl_products_lz • edp_consumer</t>
  </si>
  <si>
    <t>edp_consumer_dcs_consumer_dcs_pt_devices_lz • edp_consumer</t>
  </si>
  <si>
    <t>edp_consumer_dcs_consumer_dcs_nl_promotions_lz • edp_consumer</t>
  </si>
  <si>
    <t>edp_consumer_dcs_consumer_dcs_gr_shipments_lz • edp_consumer</t>
  </si>
  <si>
    <t>edp_consumer_dcs_consumer_dcs_ca_devices_lz • edp_consumer</t>
  </si>
  <si>
    <t>edp_consumer_dcs_consumer_dcs_au_promotions_lz • edp_consumer</t>
  </si>
  <si>
    <t>edp_consumer_dcs_consumer_dcs_ca_giftcertificates_lz • edp_consumer</t>
  </si>
  <si>
    <t>edp_consumer_dcs_consumer_dcs_ca_seasurveys_lz • edp_consumer</t>
  </si>
  <si>
    <t>edp_consumer_dcs_consumer_dcs_au_shipments_lz • edp_consumer</t>
  </si>
  <si>
    <t>edp_consumer_dcs_consumer_dcs_ca_earnings_lz • edp_consumer</t>
  </si>
  <si>
    <t>edp_consumer_dcs_consumer_dcs_dk_seasurveys_lz • edp_consumer</t>
  </si>
  <si>
    <t>edp_consumer_dcs_consumer_dcs_dk_giftcertificates_lz • edp_consumer</t>
  </si>
  <si>
    <t>edp_consumer_dcs_consumer_dcs_au_orders_lz • edp_consumer</t>
  </si>
  <si>
    <t>edp_consumer_dcs_consumer_dcs_se_products_lz • edp_consumer</t>
  </si>
  <si>
    <t>edp_consumer_dcs_consumer_dcs_ua_orders_lz • edp_consumer</t>
  </si>
  <si>
    <t>edp_consumer_dcs_consumer_dcs_kz_promotions_lz • edp_consumer</t>
  </si>
  <si>
    <t>edp_consumer_dcs_consumer_dcs_ro_products_lz • edp_consumer</t>
  </si>
  <si>
    <t>edp_consumer_dcs_consumer_dcs_gr_orderitems_lz • edp_consumer</t>
  </si>
  <si>
    <t>edp_consumer_dcs_consumer_dcs_dk_devices_lz • edp_consumer</t>
  </si>
  <si>
    <t>edp_consumer_dcs_consumer_dcs_ro_seasurveys_lz • edp_consumer</t>
  </si>
  <si>
    <t>edp_consumer_dcs_consumer_dcs_dk_orders_lz • edp_consumer</t>
  </si>
  <si>
    <t>edp_consumer_dcs_consumer_dcs_kz_profilefields_lz • edp_consumer</t>
  </si>
  <si>
    <t>edp_consumer_dcs_consumer_dcs_dk_orderitems_lz • edp_consumer</t>
  </si>
  <si>
    <t>edp_consumer_dcs_consumer_dcs_ca_spendings_lz • edp_consumer</t>
  </si>
  <si>
    <t>edp_consumer_dcs_consumer_dcs_nz_shipments_lz • edp_consumer</t>
  </si>
  <si>
    <t>edp_consumer_dcs_consumer_dcs_dk_promotions_lz • edp_consumer</t>
  </si>
  <si>
    <t>edp_consumer_dcs_consumer_dcs_pt_profilefields_lz • edp_consumer</t>
  </si>
  <si>
    <t>edp_consumer_dcs_consumer_dcs_il_orderitems_lz • edp_consumer</t>
  </si>
  <si>
    <t>edp_consumer_dcs_consumer_dcs_se_profilefields_lz • edp_consumer</t>
  </si>
  <si>
    <t>edp_consumer_dcs_consumer_dcs_se_referralcodepergodfather_lz • edp_consumer</t>
  </si>
  <si>
    <t>edp_consumer_dcs_consumer_dcs_kz_seasurveys_lz • edp_consumer</t>
  </si>
  <si>
    <t>edp_consumer_dcs_consumer_dcs_kz_orders_lz • edp_consumer</t>
  </si>
  <si>
    <t>edp_consumer_dcs_consumer_dcs_ua_seasurveys_lz • edp_consumer</t>
  </si>
  <si>
    <t>edp_consumer_dcs_consumer_dcs_ua_earnings_lz • edp_consumer</t>
  </si>
  <si>
    <t>edp_consumer_dcs_consumer_dcs_pt_touchpoints_lz • edp_consumer</t>
  </si>
  <si>
    <t>edp_consumer_dcs_consumer_dcs_ro_orders_lz • edp_consumer</t>
  </si>
  <si>
    <t>edp_consumer_dcs_consumer_dcs_lt_profilefields_lz • edp_consumer</t>
  </si>
  <si>
    <t>edp_consumer_dcs_consumer_dcs_gr_profilefields_lz • edp_consumer</t>
  </si>
  <si>
    <t>edp_consumer_dcs_consumer_dcs_lt_orderitems_lz • edp_consumer</t>
  </si>
  <si>
    <t>edp_consumer_dcs_consumer_dcs_lt_touchpoints_lz • edp_consumer</t>
  </si>
  <si>
    <t>edp_consumer_dcs_consumer_dcs_kz_spendings_lz • edp_consumer</t>
  </si>
  <si>
    <t>edp_consumer_dcs_consumer_dcs_ca_referralcodepergodfather_lz • edp_consumer</t>
  </si>
  <si>
    <t>edp_consumer_dcs_consumer_dcs_dk_profilefields_lz • edp_consumer</t>
  </si>
  <si>
    <t>edp_consumer_dcs_consumer_dcs_au_seasurveys_lz • edp_consumer</t>
  </si>
  <si>
    <t>edp_consumer_dcs_consumer_dcs_se_giftcertificates_lz • edp_consumer</t>
  </si>
  <si>
    <t>edp_consumer_dcs_consumer_dcs_ua_touchpoints_lz • edp_consumer</t>
  </si>
  <si>
    <t>edp_consumer_dcs_consumer_dcs_ro_devices_lz • edp_consumer</t>
  </si>
  <si>
    <t>edp_consumer_dcs_consumer_dcs_ca_profilefields_lz • edp_consumer</t>
  </si>
  <si>
    <t>edp_consumer_dcs_consumer_dcs_ua_giftcertificates_lz • edp_consumer</t>
  </si>
  <si>
    <t>edp_consumer_dcs_consumer_dcs_ca_orders_lz • edp_consumer</t>
  </si>
  <si>
    <t>edp_consumer_dcs_consumer_dcs_se_spendings_lz • edp_consumer</t>
  </si>
  <si>
    <t>edp_consumer_dcs_consumer_dcs_il_seasurveys_lz • edp_consumer</t>
  </si>
  <si>
    <t>edp_consumer_dcs_consumer_dcs_se_shipments_lz • edp_consumer</t>
  </si>
  <si>
    <t>edp_consumer_dcs_consumer_dcs_pt_promotions_lz • edp_consumer</t>
  </si>
  <si>
    <t>edp_consumer_dcs_consumer_dcs_pt_orderitems_lz • edp_consumer</t>
  </si>
  <si>
    <t>edp_consumer_dcs_consumer_dcs_ua_referralcodepergodfather_lz • edp_consumer</t>
  </si>
  <si>
    <t>edp_consumer_dcs_consumer_dcs_pt_products_lz • edp_consumer</t>
  </si>
  <si>
    <t>edp_consumer_dcs_consumer_dcs_nz_giftcertificates_lz • edp_consumer</t>
  </si>
  <si>
    <t>edp_consumer_dcs_consumer_dcs_gr_referralcodepergodfather_lz • edp_consumer</t>
  </si>
  <si>
    <t>edp_consumer_dcs_consumer_dcs_pt_spendings_lz • edp_consumer</t>
  </si>
  <si>
    <t>edp_consumer_dcs_consumer_dcs_nz_promotions_lz • edp_consumer</t>
  </si>
  <si>
    <t>edp_consumer_dcs_consumer_dcs_nl_referralcodepergodfather_lz • edp_consumer</t>
  </si>
  <si>
    <t>edp_consumer_dcs_consumer_dcs_gr_devices_lz • edp_consumer</t>
  </si>
  <si>
    <t>edp_consumer_dcs_consumer_dcs_il_shipments_lz • edp_consumer</t>
  </si>
  <si>
    <t>edp_consumer_dcs_consumer_dcs_pt_orders_lz • edp_consumer</t>
  </si>
  <si>
    <t>edp_consumer_dcs_consumer_dcs_ro_profilefields_lz • edp_consumer</t>
  </si>
  <si>
    <t>edp_consumer_dcs_consumer_dcs_kz_orderitems_lz • edp_consumer</t>
  </si>
  <si>
    <t>edp_consumer_dcs_consumer_dcs_gr_touchpoints_lz • edp_consumer</t>
  </si>
  <si>
    <t>edp_consumer_dcs_consumer_dcs_it_seasurveys_lz • edp_consumer</t>
  </si>
  <si>
    <t>edp_consumer_dcs_consumer_dcs_ro_shipments_lz • edp_consumer</t>
  </si>
  <si>
    <t>edp_consumer_dcs_consumer_dcs_it_promotions_lz • edp_consumer</t>
  </si>
  <si>
    <t>edp_consumer_dcs_consumer_dcs_kz_products_lz • edp_consumer</t>
  </si>
  <si>
    <t>edp_consumer_dcs_consumer_dcs_nl_spendings_lz • edp_consumer</t>
  </si>
  <si>
    <t>edp_consumer_dcs_consumer_dcs_lt_spendings_lz • edp_consumer</t>
  </si>
  <si>
    <t>edp_consumer_dcs_consumer_dcs_nz_touchpoints_lz • edp_consumer</t>
  </si>
  <si>
    <t>edp_consumer_dcs_consumer_dcs_se_orderitems_lz • edp_consumer</t>
  </si>
  <si>
    <t>edp_consumer_dcs_consumer_dcs_nl_orderitems_lz • edp_consumer</t>
  </si>
  <si>
    <t>edp_consumer_dcs_consumer_dcs_it_orderitems_lz • edp_consumer</t>
  </si>
  <si>
    <t>edp_consumer_dcs_consumer_dcs_nl_profilefields_lz • edp_consumer</t>
  </si>
  <si>
    <t>edp_consumer_dcs_consumer_dcs_au_orderitems_lz • edp_consumer</t>
  </si>
  <si>
    <t>Fullname</t>
  </si>
  <si>
    <t>clean name</t>
  </si>
  <si>
    <t>Category</t>
  </si>
  <si>
    <t>DCS - Data Ingestion of DCS Adjustment batch 1 - add new columns (export_mode full)</t>
  </si>
  <si>
    <t>devices</t>
  </si>
  <si>
    <t>earnings</t>
  </si>
  <si>
    <t>giftcertificates</t>
  </si>
  <si>
    <t>orderhistory</t>
  </si>
  <si>
    <t>orderitems</t>
  </si>
  <si>
    <t>orders</t>
  </si>
  <si>
    <t>products</t>
  </si>
  <si>
    <t>DCS - Data Ingestion of DCS Adjustment batch 2 - add new columns (export_mode full)</t>
  </si>
  <si>
    <t>profilefields</t>
  </si>
  <si>
    <t>promotions</t>
  </si>
  <si>
    <t>referralcodepergodfather</t>
  </si>
  <si>
    <t>seasurveys</t>
  </si>
  <si>
    <t>shipments</t>
  </si>
  <si>
    <t>spendings</t>
  </si>
  <si>
    <t>touchpoints</t>
  </si>
  <si>
    <t>USERS</t>
  </si>
  <si>
    <t>AU_USERS</t>
  </si>
  <si>
    <t>UA_USERS</t>
  </si>
  <si>
    <t>LT_USERS</t>
  </si>
  <si>
    <t>NL_USERS</t>
  </si>
  <si>
    <t>GR_USERS</t>
  </si>
  <si>
    <t>DK_USERS</t>
  </si>
  <si>
    <t>CA_USERS</t>
  </si>
  <si>
    <t>PT_USERS</t>
  </si>
  <si>
    <t>IL_USERS</t>
  </si>
  <si>
    <t>KZ_USERS</t>
  </si>
  <si>
    <t>SE_USERS</t>
  </si>
  <si>
    <t>IT_USERS</t>
  </si>
  <si>
    <t>NZ_USERS</t>
  </si>
  <si>
    <t>RO_USERS</t>
  </si>
  <si>
    <t>users</t>
  </si>
  <si>
    <t>https://back-office-qa.dcxinge-qa.aws.pmicloud.biz/release/configRelease/91ee09a3-fab6-4b1b-aeb4-e5cc2fa5b607</t>
  </si>
  <si>
    <t>https://back-office-qa.dcxinge-qa.aws.pmicloud.biz/release/configRelease/b87741bb-eac0-40e3-835d-d08ae0bd8475</t>
  </si>
  <si>
    <t>edp_consumer_dcs_consumer_dcs_it_users_lz • edp_consumer</t>
  </si>
  <si>
    <t>edp_consumer_dcs_consumer_dcs_se_users_lz • edp_consumer</t>
  </si>
  <si>
    <t>edp_consumer_dcs_consumer_dcs_ro_users_lz • edp_consumer</t>
  </si>
  <si>
    <t>edp_consumer_dcs_consumer_dcs_au_users_lz • edp_consumer</t>
  </si>
  <si>
    <t>edp_consumer_dcs_consumer_dcs_il_users_lz • edp_consumer</t>
  </si>
  <si>
    <t>edp_consumer_dcs_consumer_dcs_nl_users_lz • edp_consumer</t>
  </si>
  <si>
    <t>edp_consumer_dcs_consumer_dcs_dk_users_lz • edp_consumer</t>
  </si>
  <si>
    <t>edp_consumer_dcs_consumer_dcs_ca_users_lz • edp_consumer</t>
  </si>
  <si>
    <t>edp_consumer_dcs_consumer_dcs_kz_users_lz • edp_consumer</t>
  </si>
  <si>
    <t>edp_consumer_dcs_consumer_dcs_pt_users_lz • edp_consumer</t>
  </si>
  <si>
    <t>edp_consumer_dcs_consumer_dcs_lt_users_lz • edp_consumer</t>
  </si>
  <si>
    <t>edp_consumer_dcs_consumer_dcs_ua_users_lz • edp_consumer</t>
  </si>
  <si>
    <t>edp_consumer_dcs_consumer_dcs_gr_users_lz • edp_consumer</t>
  </si>
  <si>
    <t>edp_consumer_dcs_consumer_dcs_nz_users_lz • edp_consumer</t>
  </si>
  <si>
    <t xml:space="preserve">"dcs_consumer_dcs_dcs_pt_spendings" using different schedule (pt only) </t>
  </si>
  <si>
    <t>export_mode -&gt; delta</t>
  </si>
  <si>
    <t>category name</t>
  </si>
  <si>
    <t>status</t>
  </si>
  <si>
    <t>comments</t>
  </si>
  <si>
    <t>"edp_consumer_dcs_consumer_dcs_gr_promotions_lz" and some object were using different schedule</t>
  </si>
  <si>
    <t>batch1</t>
  </si>
  <si>
    <t>Release - 92615e85-ac61-47bc-b831-c9345c5491af</t>
  </si>
  <si>
    <t>Batch 1</t>
  </si>
  <si>
    <t>Batch 2</t>
  </si>
  <si>
    <t>batch2</t>
  </si>
  <si>
    <t>Release - 2fb592c8-cdde-4d3e-93c4-6cb6677f757c</t>
  </si>
  <si>
    <t>Devices</t>
  </si>
  <si>
    <t>Earnings</t>
  </si>
  <si>
    <t>Time (UTC+7)</t>
  </si>
  <si>
    <t>15 10 * * ? *</t>
  </si>
  <si>
    <t>5 12 * * ? *</t>
  </si>
  <si>
    <t>Config - UTC</t>
  </si>
  <si>
    <t>0 7 * * ? *</t>
  </si>
  <si>
    <t>0 14 * * ? *</t>
  </si>
  <si>
    <t>20 9 * * ? *</t>
  </si>
  <si>
    <t>0 9 * * ? *</t>
  </si>
  <si>
    <t>Time (UTC+7)2</t>
  </si>
  <si>
    <t>Comment (QA)</t>
  </si>
  <si>
    <t>Comment (PRD)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</si>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</sst>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72B4D"/>
      <name val="Segoe UI"/>
      <family val="2"/>
    </font>
    <font>
      <b/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rgb="FF212529"/>
      <name val="Consolas"/>
      <family val="3"/>
    </font>
    <font>
      <b/>
      <sz val="11"/>
      <color theme="1" tint="0.149998474074526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indexed="64"/>
      </left>
      <right style="medium">
        <color rgb="FFE6E6E6"/>
      </right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indexed="64"/>
      </bottom>
      <diagonal/>
    </border>
    <border>
      <left style="medium">
        <color rgb="FFE6E6E6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0" xfId="1"/>
    <xf numFmtId="0" fontId="0" fillId="0" borderId="0" xfId="0" applyAlignment="1">
      <alignment wrapText="1"/>
    </xf>
    <xf numFmtId="0" fontId="0" fillId="2" borderId="2" xfId="0" applyFill="1" applyBorder="1"/>
    <xf numFmtId="0" fontId="1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21" fontId="5" fillId="0" borderId="3" xfId="0" applyNumberFormat="1" applyFont="1" applyBorder="1" applyAlignment="1">
      <alignment vertical="center" wrapText="1"/>
    </xf>
    <xf numFmtId="21" fontId="5" fillId="0" borderId="4" xfId="0" applyNumberFormat="1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6" formatCode="h:mm:ss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12529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1278D-6EBC-46DC-BC53-33FA5453EBDC}" name="Table1" displayName="Table1" ref="A1:I211" totalsRowShown="0" headerRowDxfId="19" dataDxfId="17" headerRowBorderDxfId="18">
  <autoFilter ref="A1:I211" xr:uid="{0221278D-6EBC-46DC-BC53-33FA5453EBDC}"/>
  <tableColumns count="9">
    <tableColumn id="1" xr3:uid="{0E480828-0DE9-4312-B1D8-F207210E45A5}" name="No" dataDxfId="16"/>
    <tableColumn id="2" xr3:uid="{3FE08166-D250-4408-9B89-511FD62F7682}" name="Order" dataDxfId="15"/>
    <tableColumn id="3" xr3:uid="{B3D6E28B-63A0-4C99-AB54-CCE6E2182595}" name="Entity" dataDxfId="14"/>
    <tableColumn id="4" xr3:uid="{A1C6A725-A215-49C4-A630-40DF947D525E}" name="Market Code" dataDxfId="13"/>
    <tableColumn id="5" xr3:uid="{86FFC611-85BA-431C-B07E-FBE8B87B8B3B}" name="Table Name" dataDxfId="12"/>
    <tableColumn id="6" xr3:uid="{9E1367B3-6201-4647-9345-E3A3CF9C3890}" name="Status Development DEV" dataDxfId="11"/>
    <tableColumn id="7" xr3:uid="{A608385C-D1D3-412A-B486-1A05F1D0A111}" name="Status Development QAS" dataDxfId="10"/>
    <tableColumn id="8" xr3:uid="{EEE12C1C-A540-4C8B-9302-D23AAB5EAC7A}" name="Comment (QA)" dataDxfId="9"/>
    <tableColumn id="9" xr3:uid="{78123C79-3DE6-4536-A421-82568441A259}" name="Comment (PRD)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48C664-6D0B-4DA2-8670-E066D0AB6B84}" name="Table3" displayName="Table3" ref="A1:D211" totalsRowShown="0">
  <autoFilter ref="A1:D211" xr:uid="{4E48C664-6D0B-4DA2-8670-E066D0AB6B84}"/>
  <sortState xmlns:xlrd2="http://schemas.microsoft.com/office/spreadsheetml/2017/richdata2" ref="A2:D197">
    <sortCondition ref="C1:C197"/>
  </sortState>
  <tableColumns count="4">
    <tableColumn id="1" xr3:uid="{EE1C6A21-9B6A-4B48-AEE8-E96997D22C71}" name="Fullname"/>
    <tableColumn id="2" xr3:uid="{276DBA7F-B0F2-4B5D-BDD8-961CE144947A}" name="Market Code">
      <calculatedColumnFormula>TRIM(MID(SUBSTITUTE(D2, "_", REPT(" ", 100)), 5*100+1, 100))</calculatedColumnFormula>
    </tableColumn>
    <tableColumn id="3" xr3:uid="{372C34F3-EBC1-4C1E-B432-C808998C1841}" name="Category" dataDxfId="7">
      <calculatedColumnFormula>TRIM(MID(SUBSTITUTE(A2, "_", REPT(" ", 100)), 6*100+1, 100))</calculatedColumnFormula>
    </tableColumn>
    <tableColumn id="4" xr3:uid="{8C87F3FB-CFCC-4A7F-9BFF-4FB9825AB1AA}" name="clean name">
      <calculatedColumnFormula>LEFT(A2, FIND(" •", A2)-1)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37C5E-63E0-4523-BBC4-DA70F432CC9F}" name="Table2" displayName="Table2" ref="A1:D16" totalsRowShown="0" headerRowDxfId="6" headerRowBorderDxfId="5" tableBorderDxfId="4">
  <autoFilter ref="A1:D16" xr:uid="{B8137C5E-63E0-4523-BBC4-DA70F432CC9F}"/>
  <sortState xmlns:xlrd2="http://schemas.microsoft.com/office/spreadsheetml/2017/richdata2" ref="A2:D16">
    <sortCondition ref="D1:D16"/>
  </sortState>
  <tableColumns count="4">
    <tableColumn id="1" xr3:uid="{57E3AA28-00DC-4565-A221-55B70D916E0E}" name="Category" dataDxfId="3"/>
    <tableColumn id="2" xr3:uid="{D1B1C479-1648-4868-9AD6-E4ADCCC48E94}" name="Config - UTC" dataDxfId="2"/>
    <tableColumn id="3" xr3:uid="{351031E8-80F2-4608-B6C6-A91D6FD26A3F}" name="Time (UTC+7)" dataDxfId="1"/>
    <tableColumn id="4" xr3:uid="{81DC5AC3-6A6D-4EA8-91D8-141A1D6BEF85}" name="Time (UTC+7)2" dataDxfId="0">
      <calculatedColumnFormula>TEXT(C2, "h AM/PM")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ack-office-qa.dcxinge-qa.aws.pmicloud.biz/release/configRelease/b87741bb-eac0-40e3-835d-d08ae0bd8475" TargetMode="External"/><Relationship Id="rId1" Type="http://schemas.openxmlformats.org/officeDocument/2006/relationships/hyperlink" Target="https://back-office-qa.dcxinge-qa.aws.pmicloud.biz/release/configRelease/91ee09a3-fab6-4b1b-aeb4-e5cc2fa5b60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ack-office-qa.dcxinge-qa.aws.pmicloud.biz/release/configRelease/2fb592c8-cdde-4d3e-93c4-6cb6677f757c" TargetMode="External"/><Relationship Id="rId1" Type="http://schemas.openxmlformats.org/officeDocument/2006/relationships/hyperlink" Target="https://back-office-qa.dcxinge-qa.aws.pmicloud.biz/release/configRelease/92615e85-ac61-47bc-b831-c9345c5491a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F5A3-AD9C-421B-ADEC-3517453E068B}">
  <dimension ref="A1:I211"/>
  <sheetViews>
    <sheetView tabSelected="1" topLeftCell="C192" workbookViewId="0">
      <selection activeCell="E208" sqref="E208"/>
    </sheetView>
  </sheetViews>
  <sheetFormatPr defaultRowHeight="15" x14ac:dyDescent="0.25"/>
  <cols>
    <col min="1" max="1" width="8.140625" style="7" bestFit="1" customWidth="1"/>
    <col min="2" max="2" width="10.5703125" style="7" hidden="1" customWidth="1"/>
    <col min="3" max="3" width="28.7109375" style="7" bestFit="1" customWidth="1"/>
    <col min="4" max="4" width="17" style="7" bestFit="1" customWidth="1"/>
    <col min="5" max="5" width="32.28515625" style="7" bestFit="1" customWidth="1"/>
    <col min="6" max="6" width="15.7109375" style="7" customWidth="1"/>
    <col min="7" max="7" width="16.5703125" style="7" customWidth="1"/>
    <col min="8" max="8" width="15.85546875" style="7" bestFit="1" customWidth="1"/>
    <col min="9" max="9" width="15.85546875" style="7" customWidth="1"/>
    <col min="10" max="16384" width="9.140625" style="7"/>
  </cols>
  <sheetData>
    <row r="1" spans="1:9" ht="48" customHeight="1" x14ac:dyDescent="0.25">
      <c r="A1" s="12" t="s">
        <v>216</v>
      </c>
      <c r="B1" s="12" t="s">
        <v>215</v>
      </c>
      <c r="C1" s="12" t="s">
        <v>32</v>
      </c>
      <c r="D1" s="12" t="s">
        <v>219</v>
      </c>
      <c r="E1" s="12" t="s">
        <v>14</v>
      </c>
      <c r="F1" s="13" t="s">
        <v>217</v>
      </c>
      <c r="G1" s="13" t="s">
        <v>218</v>
      </c>
      <c r="H1" s="12" t="s">
        <v>504</v>
      </c>
      <c r="I1" s="28" t="s">
        <v>505</v>
      </c>
    </row>
    <row r="2" spans="1:9" x14ac:dyDescent="0.25">
      <c r="A2" s="8">
        <v>1</v>
      </c>
      <c r="B2" s="9">
        <v>1</v>
      </c>
      <c r="C2" s="9" t="s">
        <v>33</v>
      </c>
      <c r="D2" s="8" t="s">
        <v>220</v>
      </c>
      <c r="E2" s="9" t="s">
        <v>0</v>
      </c>
      <c r="F2" s="10" t="s">
        <v>16</v>
      </c>
      <c r="G2" s="10" t="s">
        <v>16</v>
      </c>
      <c r="H2" s="11"/>
      <c r="I2" s="26"/>
    </row>
    <row r="3" spans="1:9" x14ac:dyDescent="0.25">
      <c r="A3" s="8">
        <v>2</v>
      </c>
      <c r="B3" s="9">
        <v>2</v>
      </c>
      <c r="C3" s="9" t="s">
        <v>33</v>
      </c>
      <c r="D3" s="8" t="s">
        <v>221</v>
      </c>
      <c r="E3" s="9" t="s">
        <v>1</v>
      </c>
      <c r="F3" s="8" t="s">
        <v>16</v>
      </c>
      <c r="G3" s="8" t="s">
        <v>16</v>
      </c>
      <c r="H3" s="9"/>
      <c r="I3" s="8"/>
    </row>
    <row r="4" spans="1:9" x14ac:dyDescent="0.25">
      <c r="A4" s="8">
        <v>3</v>
      </c>
      <c r="B4" s="9">
        <v>3</v>
      </c>
      <c r="C4" s="9" t="s">
        <v>33</v>
      </c>
      <c r="D4" s="8" t="s">
        <v>222</v>
      </c>
      <c r="E4" s="9" t="s">
        <v>2</v>
      </c>
      <c r="F4" s="8" t="s">
        <v>16</v>
      </c>
      <c r="G4" s="8" t="s">
        <v>16</v>
      </c>
      <c r="H4" s="9"/>
      <c r="I4" s="8"/>
    </row>
    <row r="5" spans="1:9" x14ac:dyDescent="0.25">
      <c r="A5" s="8">
        <v>4</v>
      </c>
      <c r="B5" s="9">
        <v>4</v>
      </c>
      <c r="C5" s="9" t="s">
        <v>33</v>
      </c>
      <c r="D5" s="8" t="s">
        <v>223</v>
      </c>
      <c r="E5" s="9" t="s">
        <v>3</v>
      </c>
      <c r="F5" s="8" t="s">
        <v>16</v>
      </c>
      <c r="G5" s="8" t="s">
        <v>16</v>
      </c>
      <c r="H5" s="9"/>
      <c r="I5" s="8"/>
    </row>
    <row r="6" spans="1:9" x14ac:dyDescent="0.25">
      <c r="A6" s="8">
        <v>5</v>
      </c>
      <c r="B6" s="9">
        <v>5</v>
      </c>
      <c r="C6" s="9" t="s">
        <v>33</v>
      </c>
      <c r="D6" s="8" t="s">
        <v>224</v>
      </c>
      <c r="E6" s="9" t="s">
        <v>4</v>
      </c>
      <c r="F6" s="8" t="s">
        <v>16</v>
      </c>
      <c r="G6" s="8" t="s">
        <v>16</v>
      </c>
      <c r="H6" s="9"/>
      <c r="I6" s="8"/>
    </row>
    <row r="7" spans="1:9" x14ac:dyDescent="0.25">
      <c r="A7" s="8">
        <v>6</v>
      </c>
      <c r="B7" s="9">
        <v>6</v>
      </c>
      <c r="C7" s="9" t="s">
        <v>33</v>
      </c>
      <c r="D7" s="8" t="s">
        <v>225</v>
      </c>
      <c r="E7" s="9" t="s">
        <v>5</v>
      </c>
      <c r="F7" s="8" t="s">
        <v>16</v>
      </c>
      <c r="G7" s="8" t="s">
        <v>16</v>
      </c>
      <c r="H7" s="9"/>
      <c r="I7" s="8"/>
    </row>
    <row r="8" spans="1:9" x14ac:dyDescent="0.25">
      <c r="A8" s="8">
        <v>7</v>
      </c>
      <c r="B8" s="9">
        <v>7</v>
      </c>
      <c r="C8" s="9" t="s">
        <v>33</v>
      </c>
      <c r="D8" s="8" t="s">
        <v>226</v>
      </c>
      <c r="E8" s="9" t="s">
        <v>6</v>
      </c>
      <c r="F8" s="8" t="s">
        <v>16</v>
      </c>
      <c r="G8" s="8" t="s">
        <v>16</v>
      </c>
      <c r="H8" s="9"/>
      <c r="I8" s="9" t="s">
        <v>17</v>
      </c>
    </row>
    <row r="9" spans="1:9" x14ac:dyDescent="0.25">
      <c r="A9" s="8">
        <v>8</v>
      </c>
      <c r="B9" s="9">
        <v>8</v>
      </c>
      <c r="C9" s="9" t="s">
        <v>33</v>
      </c>
      <c r="D9" s="8" t="s">
        <v>227</v>
      </c>
      <c r="E9" s="9" t="s">
        <v>7</v>
      </c>
      <c r="F9" s="8" t="s">
        <v>16</v>
      </c>
      <c r="G9" s="8" t="s">
        <v>16</v>
      </c>
      <c r="H9" s="9" t="s">
        <v>17</v>
      </c>
      <c r="I9" s="9"/>
    </row>
    <row r="10" spans="1:9" x14ac:dyDescent="0.25">
      <c r="A10" s="8">
        <v>9</v>
      </c>
      <c r="B10" s="9">
        <v>9</v>
      </c>
      <c r="C10" s="9" t="s">
        <v>33</v>
      </c>
      <c r="D10" s="8" t="s">
        <v>228</v>
      </c>
      <c r="E10" s="9" t="s">
        <v>8</v>
      </c>
      <c r="F10" s="8" t="s">
        <v>16</v>
      </c>
      <c r="G10" s="8" t="s">
        <v>16</v>
      </c>
      <c r="H10" s="9"/>
      <c r="I10" s="8"/>
    </row>
    <row r="11" spans="1:9" x14ac:dyDescent="0.25">
      <c r="A11" s="8">
        <v>10</v>
      </c>
      <c r="B11" s="9">
        <v>10</v>
      </c>
      <c r="C11" s="9" t="s">
        <v>33</v>
      </c>
      <c r="D11" s="8" t="s">
        <v>229</v>
      </c>
      <c r="E11" s="9" t="s">
        <v>9</v>
      </c>
      <c r="F11" s="8" t="s">
        <v>16</v>
      </c>
      <c r="G11" s="8" t="s">
        <v>16</v>
      </c>
      <c r="H11" s="9"/>
      <c r="I11" s="8"/>
    </row>
    <row r="12" spans="1:9" x14ac:dyDescent="0.25">
      <c r="A12" s="8">
        <v>11</v>
      </c>
      <c r="B12" s="9">
        <v>11</v>
      </c>
      <c r="C12" s="9" t="s">
        <v>33</v>
      </c>
      <c r="D12" s="8" t="s">
        <v>230</v>
      </c>
      <c r="E12" s="9" t="s">
        <v>10</v>
      </c>
      <c r="F12" s="8" t="s">
        <v>16</v>
      </c>
      <c r="G12" s="8" t="s">
        <v>16</v>
      </c>
      <c r="H12" s="9"/>
      <c r="I12" s="8"/>
    </row>
    <row r="13" spans="1:9" x14ac:dyDescent="0.25">
      <c r="A13" s="8">
        <v>12</v>
      </c>
      <c r="B13" s="9">
        <v>12</v>
      </c>
      <c r="C13" s="9" t="s">
        <v>33</v>
      </c>
      <c r="D13" s="8" t="s">
        <v>231</v>
      </c>
      <c r="E13" s="9" t="s">
        <v>11</v>
      </c>
      <c r="F13" s="8" t="s">
        <v>16</v>
      </c>
      <c r="G13" s="8" t="s">
        <v>16</v>
      </c>
      <c r="H13" s="9"/>
      <c r="I13" s="8"/>
    </row>
    <row r="14" spans="1:9" x14ac:dyDescent="0.25">
      <c r="A14" s="8">
        <v>13</v>
      </c>
      <c r="B14" s="9">
        <v>13</v>
      </c>
      <c r="C14" s="9" t="s">
        <v>33</v>
      </c>
      <c r="D14" s="8" t="s">
        <v>232</v>
      </c>
      <c r="E14" s="9" t="s">
        <v>12</v>
      </c>
      <c r="F14" s="8" t="s">
        <v>16</v>
      </c>
      <c r="G14" s="8" t="s">
        <v>16</v>
      </c>
      <c r="H14" s="9"/>
      <c r="I14" s="8"/>
    </row>
    <row r="15" spans="1:9" x14ac:dyDescent="0.25">
      <c r="A15" s="8">
        <v>14</v>
      </c>
      <c r="B15" s="9">
        <v>14</v>
      </c>
      <c r="C15" s="9" t="s">
        <v>33</v>
      </c>
      <c r="D15" s="8" t="s">
        <v>233</v>
      </c>
      <c r="E15" s="9" t="s">
        <v>13</v>
      </c>
      <c r="F15" s="8" t="s">
        <v>16</v>
      </c>
      <c r="G15" s="8" t="s">
        <v>16</v>
      </c>
      <c r="H15" s="9"/>
      <c r="I15" s="8"/>
    </row>
    <row r="16" spans="1:9" x14ac:dyDescent="0.25">
      <c r="A16" s="8">
        <v>15</v>
      </c>
      <c r="B16" s="9">
        <v>1</v>
      </c>
      <c r="C16" s="9" t="s">
        <v>34</v>
      </c>
      <c r="D16" s="8" t="s">
        <v>230</v>
      </c>
      <c r="E16" s="9" t="s">
        <v>18</v>
      </c>
      <c r="F16" s="8" t="s">
        <v>16</v>
      </c>
      <c r="G16" s="8" t="s">
        <v>16</v>
      </c>
      <c r="H16" s="9" t="s">
        <v>17</v>
      </c>
      <c r="I16" s="9" t="s">
        <v>17</v>
      </c>
    </row>
    <row r="17" spans="1:9" x14ac:dyDescent="0.25">
      <c r="A17" s="8">
        <v>16</v>
      </c>
      <c r="B17" s="9">
        <v>2</v>
      </c>
      <c r="C17" s="9" t="s">
        <v>34</v>
      </c>
      <c r="D17" s="8" t="s">
        <v>223</v>
      </c>
      <c r="E17" s="9" t="s">
        <v>19</v>
      </c>
      <c r="F17" s="8" t="s">
        <v>16</v>
      </c>
      <c r="G17" s="8" t="s">
        <v>16</v>
      </c>
      <c r="H17" s="9" t="s">
        <v>17</v>
      </c>
      <c r="I17" s="9" t="s">
        <v>17</v>
      </c>
    </row>
    <row r="18" spans="1:9" x14ac:dyDescent="0.25">
      <c r="A18" s="8">
        <v>17</v>
      </c>
      <c r="B18" s="9">
        <v>3</v>
      </c>
      <c r="C18" s="9" t="s">
        <v>34</v>
      </c>
      <c r="D18" s="8" t="s">
        <v>225</v>
      </c>
      <c r="E18" s="9" t="s">
        <v>20</v>
      </c>
      <c r="F18" s="8" t="s">
        <v>16</v>
      </c>
      <c r="G18" s="8" t="s">
        <v>16</v>
      </c>
      <c r="H18" s="9"/>
      <c r="I18" s="9" t="s">
        <v>17</v>
      </c>
    </row>
    <row r="19" spans="1:9" x14ac:dyDescent="0.25">
      <c r="A19" s="8">
        <v>18</v>
      </c>
      <c r="B19" s="9">
        <v>4</v>
      </c>
      <c r="C19" s="9" t="s">
        <v>34</v>
      </c>
      <c r="D19" s="8" t="s">
        <v>232</v>
      </c>
      <c r="E19" s="9" t="s">
        <v>21</v>
      </c>
      <c r="F19" s="8" t="s">
        <v>16</v>
      </c>
      <c r="G19" s="8" t="s">
        <v>16</v>
      </c>
      <c r="H19" s="9"/>
      <c r="I19" s="9" t="s">
        <v>17</v>
      </c>
    </row>
    <row r="20" spans="1:9" x14ac:dyDescent="0.25">
      <c r="A20" s="8">
        <v>19</v>
      </c>
      <c r="B20" s="9">
        <v>5</v>
      </c>
      <c r="C20" s="9" t="s">
        <v>34</v>
      </c>
      <c r="D20" s="8" t="s">
        <v>222</v>
      </c>
      <c r="E20" s="9" t="s">
        <v>22</v>
      </c>
      <c r="F20" s="8" t="s">
        <v>16</v>
      </c>
      <c r="G20" s="8" t="s">
        <v>16</v>
      </c>
      <c r="H20" s="9"/>
      <c r="I20" s="8"/>
    </row>
    <row r="21" spans="1:9" x14ac:dyDescent="0.25">
      <c r="A21" s="8">
        <v>20</v>
      </c>
      <c r="B21" s="9">
        <v>6</v>
      </c>
      <c r="C21" s="9" t="s">
        <v>34</v>
      </c>
      <c r="D21" s="8" t="s">
        <v>226</v>
      </c>
      <c r="E21" s="9" t="s">
        <v>23</v>
      </c>
      <c r="F21" s="8" t="s">
        <v>16</v>
      </c>
      <c r="G21" s="8" t="s">
        <v>16</v>
      </c>
      <c r="H21" s="9" t="s">
        <v>17</v>
      </c>
      <c r="I21" s="9" t="s">
        <v>17</v>
      </c>
    </row>
    <row r="22" spans="1:9" x14ac:dyDescent="0.25">
      <c r="A22" s="8">
        <v>21</v>
      </c>
      <c r="B22" s="9">
        <v>7</v>
      </c>
      <c r="C22" s="9" t="s">
        <v>34</v>
      </c>
      <c r="D22" s="8" t="s">
        <v>220</v>
      </c>
      <c r="E22" s="9" t="s">
        <v>24</v>
      </c>
      <c r="F22" s="8" t="s">
        <v>16</v>
      </c>
      <c r="G22" s="8" t="s">
        <v>16</v>
      </c>
      <c r="H22" s="9" t="s">
        <v>17</v>
      </c>
      <c r="I22" s="9" t="s">
        <v>17</v>
      </c>
    </row>
    <row r="23" spans="1:9" x14ac:dyDescent="0.25">
      <c r="A23" s="8">
        <v>22</v>
      </c>
      <c r="B23" s="9">
        <v>8</v>
      </c>
      <c r="C23" s="9" t="s">
        <v>34</v>
      </c>
      <c r="D23" s="8" t="s">
        <v>231</v>
      </c>
      <c r="E23" s="9" t="s">
        <v>25</v>
      </c>
      <c r="F23" s="8" t="s">
        <v>16</v>
      </c>
      <c r="G23" s="8" t="s">
        <v>16</v>
      </c>
      <c r="H23" s="9"/>
      <c r="I23" s="9" t="s">
        <v>17</v>
      </c>
    </row>
    <row r="24" spans="1:9" x14ac:dyDescent="0.25">
      <c r="A24" s="8">
        <v>23</v>
      </c>
      <c r="B24" s="9">
        <v>9</v>
      </c>
      <c r="C24" s="9" t="s">
        <v>34</v>
      </c>
      <c r="D24" s="8" t="s">
        <v>221</v>
      </c>
      <c r="E24" s="9" t="s">
        <v>26</v>
      </c>
      <c r="F24" s="8" t="s">
        <v>16</v>
      </c>
      <c r="G24" s="8" t="s">
        <v>16</v>
      </c>
      <c r="H24" s="9"/>
      <c r="I24" s="9" t="s">
        <v>17</v>
      </c>
    </row>
    <row r="25" spans="1:9" x14ac:dyDescent="0.25">
      <c r="A25" s="8">
        <v>24</v>
      </c>
      <c r="B25" s="9">
        <v>10</v>
      </c>
      <c r="C25" s="9" t="s">
        <v>34</v>
      </c>
      <c r="D25" s="8" t="s">
        <v>224</v>
      </c>
      <c r="E25" s="9" t="s">
        <v>27</v>
      </c>
      <c r="F25" s="8" t="s">
        <v>16</v>
      </c>
      <c r="G25" s="8" t="s">
        <v>16</v>
      </c>
      <c r="H25" s="9"/>
      <c r="I25" s="8"/>
    </row>
    <row r="26" spans="1:9" x14ac:dyDescent="0.25">
      <c r="A26" s="8">
        <v>25</v>
      </c>
      <c r="B26" s="9">
        <v>11</v>
      </c>
      <c r="C26" s="9" t="s">
        <v>34</v>
      </c>
      <c r="D26" s="8" t="s">
        <v>229</v>
      </c>
      <c r="E26" s="9" t="s">
        <v>28</v>
      </c>
      <c r="F26" s="8" t="s">
        <v>16</v>
      </c>
      <c r="G26" s="8" t="s">
        <v>16</v>
      </c>
      <c r="H26" s="9" t="s">
        <v>17</v>
      </c>
      <c r="I26" s="9" t="s">
        <v>17</v>
      </c>
    </row>
    <row r="27" spans="1:9" x14ac:dyDescent="0.25">
      <c r="A27" s="8">
        <v>26</v>
      </c>
      <c r="B27" s="9">
        <v>12</v>
      </c>
      <c r="C27" s="9" t="s">
        <v>34</v>
      </c>
      <c r="D27" s="8" t="s">
        <v>228</v>
      </c>
      <c r="E27" s="9" t="s">
        <v>29</v>
      </c>
      <c r="F27" s="8" t="s">
        <v>16</v>
      </c>
      <c r="G27" s="8" t="s">
        <v>16</v>
      </c>
      <c r="H27" s="9" t="s">
        <v>17</v>
      </c>
      <c r="I27" s="9" t="s">
        <v>17</v>
      </c>
    </row>
    <row r="28" spans="1:9" x14ac:dyDescent="0.25">
      <c r="A28" s="8">
        <v>27</v>
      </c>
      <c r="B28" s="9">
        <v>13</v>
      </c>
      <c r="C28" s="9" t="s">
        <v>34</v>
      </c>
      <c r="D28" s="8" t="s">
        <v>233</v>
      </c>
      <c r="E28" s="9" t="s">
        <v>30</v>
      </c>
      <c r="F28" s="8" t="s">
        <v>16</v>
      </c>
      <c r="G28" s="8" t="s">
        <v>16</v>
      </c>
      <c r="H28" s="9"/>
      <c r="I28" s="8"/>
    </row>
    <row r="29" spans="1:9" x14ac:dyDescent="0.25">
      <c r="A29" s="8">
        <v>28</v>
      </c>
      <c r="B29" s="9">
        <v>14</v>
      </c>
      <c r="C29" s="9" t="s">
        <v>34</v>
      </c>
      <c r="D29" s="8" t="s">
        <v>227</v>
      </c>
      <c r="E29" s="9" t="s">
        <v>31</v>
      </c>
      <c r="F29" s="8" t="s">
        <v>16</v>
      </c>
      <c r="G29" s="8" t="s">
        <v>16</v>
      </c>
      <c r="H29" s="9" t="s">
        <v>17</v>
      </c>
      <c r="I29" s="9" t="s">
        <v>17</v>
      </c>
    </row>
    <row r="30" spans="1:9" x14ac:dyDescent="0.25">
      <c r="A30" s="8">
        <v>29</v>
      </c>
      <c r="B30" s="9">
        <v>1</v>
      </c>
      <c r="C30" s="9" t="s">
        <v>49</v>
      </c>
      <c r="D30" s="8" t="s">
        <v>233</v>
      </c>
      <c r="E30" s="9" t="s">
        <v>35</v>
      </c>
      <c r="F30" s="8" t="s">
        <v>16</v>
      </c>
      <c r="G30" s="8" t="s">
        <v>16</v>
      </c>
      <c r="H30" s="9"/>
      <c r="I30" s="8"/>
    </row>
    <row r="31" spans="1:9" x14ac:dyDescent="0.25">
      <c r="A31" s="8">
        <v>30</v>
      </c>
      <c r="B31" s="9">
        <v>2</v>
      </c>
      <c r="C31" s="9" t="s">
        <v>49</v>
      </c>
      <c r="D31" s="8" t="s">
        <v>222</v>
      </c>
      <c r="E31" s="9" t="s">
        <v>36</v>
      </c>
      <c r="F31" s="8" t="s">
        <v>16</v>
      </c>
      <c r="G31" s="8" t="s">
        <v>16</v>
      </c>
      <c r="H31" s="9"/>
      <c r="I31" s="8"/>
    </row>
    <row r="32" spans="1:9" x14ac:dyDescent="0.25">
      <c r="A32" s="8">
        <v>31</v>
      </c>
      <c r="B32" s="9">
        <v>3</v>
      </c>
      <c r="C32" s="9" t="s">
        <v>49</v>
      </c>
      <c r="D32" s="8" t="s">
        <v>228</v>
      </c>
      <c r="E32" s="9" t="s">
        <v>37</v>
      </c>
      <c r="F32" s="8" t="s">
        <v>16</v>
      </c>
      <c r="G32" s="8" t="s">
        <v>16</v>
      </c>
      <c r="H32" s="9"/>
      <c r="I32" s="8"/>
    </row>
    <row r="33" spans="1:9" x14ac:dyDescent="0.25">
      <c r="A33" s="8">
        <v>32</v>
      </c>
      <c r="B33" s="9">
        <v>4</v>
      </c>
      <c r="C33" s="9" t="s">
        <v>49</v>
      </c>
      <c r="D33" s="8" t="s">
        <v>232</v>
      </c>
      <c r="E33" s="9" t="s">
        <v>38</v>
      </c>
      <c r="F33" s="8" t="s">
        <v>16</v>
      </c>
      <c r="G33" s="8" t="s">
        <v>16</v>
      </c>
      <c r="H33" s="9"/>
      <c r="I33" s="8"/>
    </row>
    <row r="34" spans="1:9" x14ac:dyDescent="0.25">
      <c r="A34" s="8">
        <v>33</v>
      </c>
      <c r="B34" s="9">
        <v>5</v>
      </c>
      <c r="C34" s="9" t="s">
        <v>49</v>
      </c>
      <c r="D34" s="8" t="s">
        <v>229</v>
      </c>
      <c r="E34" s="9" t="s">
        <v>39</v>
      </c>
      <c r="F34" s="8" t="s">
        <v>16</v>
      </c>
      <c r="G34" s="8" t="s">
        <v>16</v>
      </c>
      <c r="H34" s="9"/>
      <c r="I34" s="8"/>
    </row>
    <row r="35" spans="1:9" x14ac:dyDescent="0.25">
      <c r="A35" s="8">
        <v>34</v>
      </c>
      <c r="B35" s="9">
        <v>6</v>
      </c>
      <c r="C35" s="9" t="s">
        <v>49</v>
      </c>
      <c r="D35" s="8" t="s">
        <v>225</v>
      </c>
      <c r="E35" s="9" t="s">
        <v>40</v>
      </c>
      <c r="F35" s="8" t="s">
        <v>16</v>
      </c>
      <c r="G35" s="8" t="s">
        <v>16</v>
      </c>
      <c r="H35" s="9"/>
      <c r="I35" s="8"/>
    </row>
    <row r="36" spans="1:9" x14ac:dyDescent="0.25">
      <c r="A36" s="8">
        <v>35</v>
      </c>
      <c r="B36" s="9">
        <v>7</v>
      </c>
      <c r="C36" s="9" t="s">
        <v>49</v>
      </c>
      <c r="D36" s="8" t="s">
        <v>223</v>
      </c>
      <c r="E36" s="9" t="s">
        <v>41</v>
      </c>
      <c r="F36" s="8" t="s">
        <v>16</v>
      </c>
      <c r="G36" s="8" t="s">
        <v>16</v>
      </c>
      <c r="H36" s="9"/>
      <c r="I36" s="8"/>
    </row>
    <row r="37" spans="1:9" x14ac:dyDescent="0.25">
      <c r="A37" s="8">
        <v>36</v>
      </c>
      <c r="B37" s="9">
        <v>8</v>
      </c>
      <c r="C37" s="9" t="s">
        <v>49</v>
      </c>
      <c r="D37" s="8" t="s">
        <v>221</v>
      </c>
      <c r="E37" s="9" t="s">
        <v>42</v>
      </c>
      <c r="F37" s="8" t="s">
        <v>16</v>
      </c>
      <c r="G37" s="8" t="s">
        <v>16</v>
      </c>
      <c r="H37" s="9"/>
      <c r="I37" s="8"/>
    </row>
    <row r="38" spans="1:9" x14ac:dyDescent="0.25">
      <c r="A38" s="8">
        <v>37</v>
      </c>
      <c r="B38" s="9">
        <v>9</v>
      </c>
      <c r="C38" s="9" t="s">
        <v>49</v>
      </c>
      <c r="D38" s="8" t="s">
        <v>230</v>
      </c>
      <c r="E38" s="9" t="s">
        <v>43</v>
      </c>
      <c r="F38" s="8" t="s">
        <v>16</v>
      </c>
      <c r="G38" s="8" t="s">
        <v>16</v>
      </c>
      <c r="H38" s="9"/>
      <c r="I38" s="8"/>
    </row>
    <row r="39" spans="1:9" x14ac:dyDescent="0.25">
      <c r="A39" s="8">
        <v>38</v>
      </c>
      <c r="B39" s="9">
        <v>10</v>
      </c>
      <c r="C39" s="9" t="s">
        <v>49</v>
      </c>
      <c r="D39" s="8" t="s">
        <v>226</v>
      </c>
      <c r="E39" s="9" t="s">
        <v>44</v>
      </c>
      <c r="F39" s="8" t="s">
        <v>16</v>
      </c>
      <c r="G39" s="8" t="s">
        <v>16</v>
      </c>
      <c r="H39" s="9"/>
      <c r="I39" s="9" t="s">
        <v>17</v>
      </c>
    </row>
    <row r="40" spans="1:9" x14ac:dyDescent="0.25">
      <c r="A40" s="8">
        <v>39</v>
      </c>
      <c r="B40" s="9">
        <v>11</v>
      </c>
      <c r="C40" s="9" t="s">
        <v>49</v>
      </c>
      <c r="D40" s="8" t="s">
        <v>220</v>
      </c>
      <c r="E40" s="9" t="s">
        <v>45</v>
      </c>
      <c r="F40" s="8" t="s">
        <v>16</v>
      </c>
      <c r="G40" s="8" t="s">
        <v>16</v>
      </c>
      <c r="H40" s="9"/>
      <c r="I40" s="8"/>
    </row>
    <row r="41" spans="1:9" x14ac:dyDescent="0.25">
      <c r="A41" s="8">
        <v>40</v>
      </c>
      <c r="B41" s="9">
        <v>12</v>
      </c>
      <c r="C41" s="9" t="s">
        <v>49</v>
      </c>
      <c r="D41" s="8" t="s">
        <v>231</v>
      </c>
      <c r="E41" s="9" t="s">
        <v>46</v>
      </c>
      <c r="F41" s="8" t="s">
        <v>16</v>
      </c>
      <c r="G41" s="8" t="s">
        <v>16</v>
      </c>
      <c r="H41" s="9"/>
      <c r="I41" s="8"/>
    </row>
    <row r="42" spans="1:9" x14ac:dyDescent="0.25">
      <c r="A42" s="8">
        <v>41</v>
      </c>
      <c r="B42" s="9">
        <v>13</v>
      </c>
      <c r="C42" s="9" t="s">
        <v>49</v>
      </c>
      <c r="D42" s="8" t="s">
        <v>227</v>
      </c>
      <c r="E42" s="9" t="s">
        <v>47</v>
      </c>
      <c r="F42" s="8" t="s">
        <v>16</v>
      </c>
      <c r="G42" s="8" t="s">
        <v>16</v>
      </c>
      <c r="H42" s="9" t="s">
        <v>17</v>
      </c>
      <c r="I42" s="9"/>
    </row>
    <row r="43" spans="1:9" x14ac:dyDescent="0.25">
      <c r="A43" s="8">
        <v>42</v>
      </c>
      <c r="B43" s="9">
        <v>14</v>
      </c>
      <c r="C43" s="9" t="s">
        <v>49</v>
      </c>
      <c r="D43" s="8" t="s">
        <v>224</v>
      </c>
      <c r="E43" s="9" t="s">
        <v>48</v>
      </c>
      <c r="F43" s="8" t="s">
        <v>16</v>
      </c>
      <c r="G43" s="8" t="s">
        <v>16</v>
      </c>
      <c r="H43" s="9"/>
      <c r="I43" s="8"/>
    </row>
    <row r="44" spans="1:9" x14ac:dyDescent="0.25">
      <c r="A44" s="8">
        <v>43</v>
      </c>
      <c r="B44" s="9">
        <v>1</v>
      </c>
      <c r="C44" s="9" t="s">
        <v>64</v>
      </c>
      <c r="D44" s="8" t="s">
        <v>226</v>
      </c>
      <c r="E44" s="9" t="s">
        <v>50</v>
      </c>
      <c r="F44" s="8" t="s">
        <v>16</v>
      </c>
      <c r="G44" s="8" t="s">
        <v>16</v>
      </c>
      <c r="H44" s="9"/>
      <c r="I44" s="9" t="s">
        <v>17</v>
      </c>
    </row>
    <row r="45" spans="1:9" x14ac:dyDescent="0.25">
      <c r="A45" s="8">
        <v>44</v>
      </c>
      <c r="B45" s="9">
        <v>2</v>
      </c>
      <c r="C45" s="9" t="s">
        <v>64</v>
      </c>
      <c r="D45" s="8" t="s">
        <v>233</v>
      </c>
      <c r="E45" s="9" t="s">
        <v>51</v>
      </c>
      <c r="F45" s="8" t="s">
        <v>16</v>
      </c>
      <c r="G45" s="8" t="s">
        <v>16</v>
      </c>
      <c r="H45" s="9"/>
      <c r="I45" s="9"/>
    </row>
    <row r="46" spans="1:9" x14ac:dyDescent="0.25">
      <c r="A46" s="8">
        <v>45</v>
      </c>
      <c r="B46" s="9">
        <v>3</v>
      </c>
      <c r="C46" s="9" t="s">
        <v>64</v>
      </c>
      <c r="D46" s="8" t="s">
        <v>228</v>
      </c>
      <c r="E46" s="9" t="s">
        <v>52</v>
      </c>
      <c r="F46" s="8" t="s">
        <v>16</v>
      </c>
      <c r="G46" s="8" t="s">
        <v>16</v>
      </c>
      <c r="H46" s="9"/>
      <c r="I46" s="8"/>
    </row>
    <row r="47" spans="1:9" x14ac:dyDescent="0.25">
      <c r="A47" s="8">
        <v>46</v>
      </c>
      <c r="B47" s="9">
        <v>4</v>
      </c>
      <c r="C47" s="9" t="s">
        <v>64</v>
      </c>
      <c r="D47" s="8" t="s">
        <v>232</v>
      </c>
      <c r="E47" s="9" t="s">
        <v>53</v>
      </c>
      <c r="F47" s="8" t="s">
        <v>16</v>
      </c>
      <c r="G47" s="8" t="s">
        <v>16</v>
      </c>
      <c r="H47" s="9"/>
      <c r="I47" s="8"/>
    </row>
    <row r="48" spans="1:9" x14ac:dyDescent="0.25">
      <c r="A48" s="8">
        <v>47</v>
      </c>
      <c r="B48" s="9">
        <v>5</v>
      </c>
      <c r="C48" s="9" t="s">
        <v>64</v>
      </c>
      <c r="D48" s="8" t="s">
        <v>221</v>
      </c>
      <c r="E48" s="9" t="s">
        <v>54</v>
      </c>
      <c r="F48" s="8" t="s">
        <v>16</v>
      </c>
      <c r="G48" s="8" t="s">
        <v>16</v>
      </c>
      <c r="H48" s="9"/>
      <c r="I48" s="8"/>
    </row>
    <row r="49" spans="1:9" x14ac:dyDescent="0.25">
      <c r="A49" s="8">
        <v>48</v>
      </c>
      <c r="B49" s="9">
        <v>6</v>
      </c>
      <c r="C49" s="9" t="s">
        <v>64</v>
      </c>
      <c r="D49" s="8" t="s">
        <v>220</v>
      </c>
      <c r="E49" s="9" t="s">
        <v>55</v>
      </c>
      <c r="F49" s="8" t="s">
        <v>16</v>
      </c>
      <c r="G49" s="8" t="s">
        <v>16</v>
      </c>
      <c r="H49" s="9"/>
      <c r="I49" s="8"/>
    </row>
    <row r="50" spans="1:9" x14ac:dyDescent="0.25">
      <c r="A50" s="8">
        <v>49</v>
      </c>
      <c r="B50" s="9">
        <v>7</v>
      </c>
      <c r="C50" s="9" t="s">
        <v>64</v>
      </c>
      <c r="D50" s="8" t="s">
        <v>224</v>
      </c>
      <c r="E50" s="9" t="s">
        <v>56</v>
      </c>
      <c r="F50" s="8" t="s">
        <v>16</v>
      </c>
      <c r="G50" s="8" t="s">
        <v>16</v>
      </c>
      <c r="H50" s="9"/>
      <c r="I50" s="8"/>
    </row>
    <row r="51" spans="1:9" x14ac:dyDescent="0.25">
      <c r="A51" s="8">
        <v>50</v>
      </c>
      <c r="B51" s="9">
        <v>8</v>
      </c>
      <c r="C51" s="9" t="s">
        <v>64</v>
      </c>
      <c r="D51" s="8" t="s">
        <v>223</v>
      </c>
      <c r="E51" s="9" t="s">
        <v>57</v>
      </c>
      <c r="F51" s="8" t="s">
        <v>16</v>
      </c>
      <c r="G51" s="8" t="s">
        <v>16</v>
      </c>
      <c r="H51" s="9"/>
      <c r="I51" s="8"/>
    </row>
    <row r="52" spans="1:9" x14ac:dyDescent="0.25">
      <c r="A52" s="8">
        <v>51</v>
      </c>
      <c r="B52" s="9">
        <v>9</v>
      </c>
      <c r="C52" s="9" t="s">
        <v>64</v>
      </c>
      <c r="D52" s="8" t="s">
        <v>231</v>
      </c>
      <c r="E52" s="9" t="s">
        <v>58</v>
      </c>
      <c r="F52" s="8" t="s">
        <v>16</v>
      </c>
      <c r="G52" s="8" t="s">
        <v>16</v>
      </c>
      <c r="H52" s="9"/>
      <c r="I52" s="8"/>
    </row>
    <row r="53" spans="1:9" x14ac:dyDescent="0.25">
      <c r="A53" s="8">
        <v>52</v>
      </c>
      <c r="B53" s="9">
        <v>10</v>
      </c>
      <c r="C53" s="9" t="s">
        <v>64</v>
      </c>
      <c r="D53" s="8" t="s">
        <v>227</v>
      </c>
      <c r="E53" s="9" t="s">
        <v>59</v>
      </c>
      <c r="F53" s="8" t="s">
        <v>16</v>
      </c>
      <c r="G53" s="8" t="s">
        <v>16</v>
      </c>
      <c r="H53" s="9" t="s">
        <v>17</v>
      </c>
      <c r="I53" s="9"/>
    </row>
    <row r="54" spans="1:9" x14ac:dyDescent="0.25">
      <c r="A54" s="8">
        <v>53</v>
      </c>
      <c r="B54" s="9">
        <v>11</v>
      </c>
      <c r="C54" s="9" t="s">
        <v>64</v>
      </c>
      <c r="D54" s="8" t="s">
        <v>230</v>
      </c>
      <c r="E54" s="9" t="s">
        <v>60</v>
      </c>
      <c r="F54" s="8" t="s">
        <v>16</v>
      </c>
      <c r="G54" s="8" t="s">
        <v>16</v>
      </c>
      <c r="H54" s="9"/>
      <c r="I54" s="8"/>
    </row>
    <row r="55" spans="1:9" x14ac:dyDescent="0.25">
      <c r="A55" s="8">
        <v>54</v>
      </c>
      <c r="B55" s="9">
        <v>12</v>
      </c>
      <c r="C55" s="9" t="s">
        <v>64</v>
      </c>
      <c r="D55" s="8" t="s">
        <v>225</v>
      </c>
      <c r="E55" s="9" t="s">
        <v>61</v>
      </c>
      <c r="F55" s="8" t="s">
        <v>16</v>
      </c>
      <c r="G55" s="8" t="s">
        <v>16</v>
      </c>
      <c r="H55" s="9"/>
      <c r="I55" s="8"/>
    </row>
    <row r="56" spans="1:9" x14ac:dyDescent="0.25">
      <c r="A56" s="8">
        <v>55</v>
      </c>
      <c r="B56" s="9">
        <v>13</v>
      </c>
      <c r="C56" s="9" t="s">
        <v>64</v>
      </c>
      <c r="D56" s="8" t="s">
        <v>229</v>
      </c>
      <c r="E56" s="9" t="s">
        <v>62</v>
      </c>
      <c r="F56" s="8" t="s">
        <v>16</v>
      </c>
      <c r="G56" s="8" t="s">
        <v>16</v>
      </c>
      <c r="H56" s="9"/>
      <c r="I56" s="8"/>
    </row>
    <row r="57" spans="1:9" x14ac:dyDescent="0.25">
      <c r="A57" s="8">
        <v>56</v>
      </c>
      <c r="B57" s="9">
        <v>14</v>
      </c>
      <c r="C57" s="9" t="s">
        <v>64</v>
      </c>
      <c r="D57" s="8" t="s">
        <v>222</v>
      </c>
      <c r="E57" s="9" t="s">
        <v>63</v>
      </c>
      <c r="F57" s="8" t="s">
        <v>16</v>
      </c>
      <c r="G57" s="8" t="s">
        <v>16</v>
      </c>
      <c r="H57" s="9"/>
      <c r="I57" s="8"/>
    </row>
    <row r="58" spans="1:9" x14ac:dyDescent="0.25">
      <c r="A58" s="8">
        <v>57</v>
      </c>
      <c r="B58" s="9">
        <v>1</v>
      </c>
      <c r="C58" s="9" t="s">
        <v>79</v>
      </c>
      <c r="D58" s="8" t="s">
        <v>226</v>
      </c>
      <c r="E58" s="9" t="s">
        <v>65</v>
      </c>
      <c r="F58" s="8" t="s">
        <v>16</v>
      </c>
      <c r="G58" s="8" t="s">
        <v>16</v>
      </c>
      <c r="H58" s="9"/>
      <c r="I58" s="9" t="s">
        <v>17</v>
      </c>
    </row>
    <row r="59" spans="1:9" x14ac:dyDescent="0.25">
      <c r="A59" s="8">
        <v>58</v>
      </c>
      <c r="B59" s="9">
        <v>2</v>
      </c>
      <c r="C59" s="9" t="s">
        <v>79</v>
      </c>
      <c r="D59" s="8" t="s">
        <v>233</v>
      </c>
      <c r="E59" s="9" t="s">
        <v>66</v>
      </c>
      <c r="F59" s="8" t="s">
        <v>16</v>
      </c>
      <c r="G59" s="8" t="s">
        <v>16</v>
      </c>
      <c r="H59" s="9"/>
      <c r="I59" s="8"/>
    </row>
    <row r="60" spans="1:9" x14ac:dyDescent="0.25">
      <c r="A60" s="8">
        <v>59</v>
      </c>
      <c r="B60" s="9">
        <v>3</v>
      </c>
      <c r="C60" s="9" t="s">
        <v>79</v>
      </c>
      <c r="D60" s="8" t="s">
        <v>228</v>
      </c>
      <c r="E60" s="9" t="s">
        <v>67</v>
      </c>
      <c r="F60" s="8" t="s">
        <v>16</v>
      </c>
      <c r="G60" s="8" t="s">
        <v>16</v>
      </c>
      <c r="H60" s="9"/>
      <c r="I60" s="8"/>
    </row>
    <row r="61" spans="1:9" x14ac:dyDescent="0.25">
      <c r="A61" s="8">
        <v>60</v>
      </c>
      <c r="B61" s="9">
        <v>4</v>
      </c>
      <c r="C61" s="9" t="s">
        <v>79</v>
      </c>
      <c r="D61" s="8" t="s">
        <v>232</v>
      </c>
      <c r="E61" s="9" t="s">
        <v>68</v>
      </c>
      <c r="F61" s="8" t="s">
        <v>16</v>
      </c>
      <c r="G61" s="8" t="s">
        <v>16</v>
      </c>
      <c r="H61" s="9"/>
      <c r="I61" s="8"/>
    </row>
    <row r="62" spans="1:9" x14ac:dyDescent="0.25">
      <c r="A62" s="8">
        <v>61</v>
      </c>
      <c r="B62" s="9">
        <v>5</v>
      </c>
      <c r="C62" s="9" t="s">
        <v>79</v>
      </c>
      <c r="D62" s="8" t="s">
        <v>221</v>
      </c>
      <c r="E62" s="9" t="s">
        <v>69</v>
      </c>
      <c r="F62" s="8" t="s">
        <v>16</v>
      </c>
      <c r="G62" s="8" t="s">
        <v>16</v>
      </c>
      <c r="H62" s="9"/>
      <c r="I62" s="8"/>
    </row>
    <row r="63" spans="1:9" x14ac:dyDescent="0.25">
      <c r="A63" s="8">
        <v>62</v>
      </c>
      <c r="B63" s="9">
        <v>6</v>
      </c>
      <c r="C63" s="9" t="s">
        <v>79</v>
      </c>
      <c r="D63" s="8" t="s">
        <v>220</v>
      </c>
      <c r="E63" s="9" t="s">
        <v>70</v>
      </c>
      <c r="F63" s="8" t="s">
        <v>16</v>
      </c>
      <c r="G63" s="8" t="s">
        <v>16</v>
      </c>
      <c r="H63" s="9"/>
      <c r="I63" s="8"/>
    </row>
    <row r="64" spans="1:9" x14ac:dyDescent="0.25">
      <c r="A64" s="8">
        <v>63</v>
      </c>
      <c r="B64" s="9">
        <v>7</v>
      </c>
      <c r="C64" s="9" t="s">
        <v>79</v>
      </c>
      <c r="D64" s="8" t="s">
        <v>224</v>
      </c>
      <c r="E64" s="9" t="s">
        <v>71</v>
      </c>
      <c r="F64" s="8" t="s">
        <v>16</v>
      </c>
      <c r="G64" s="8" t="s">
        <v>16</v>
      </c>
      <c r="H64" s="9"/>
      <c r="I64" s="8"/>
    </row>
    <row r="65" spans="1:9" x14ac:dyDescent="0.25">
      <c r="A65" s="8">
        <v>64</v>
      </c>
      <c r="B65" s="9">
        <v>8</v>
      </c>
      <c r="C65" s="9" t="s">
        <v>79</v>
      </c>
      <c r="D65" s="8" t="s">
        <v>223</v>
      </c>
      <c r="E65" s="9" t="s">
        <v>72</v>
      </c>
      <c r="F65" s="8" t="s">
        <v>16</v>
      </c>
      <c r="G65" s="8" t="s">
        <v>16</v>
      </c>
      <c r="H65" s="9"/>
      <c r="I65" s="8"/>
    </row>
    <row r="66" spans="1:9" x14ac:dyDescent="0.25">
      <c r="A66" s="8">
        <v>65</v>
      </c>
      <c r="B66" s="9">
        <v>9</v>
      </c>
      <c r="C66" s="9" t="s">
        <v>79</v>
      </c>
      <c r="D66" s="8" t="s">
        <v>231</v>
      </c>
      <c r="E66" s="9" t="s">
        <v>73</v>
      </c>
      <c r="F66" s="8" t="s">
        <v>16</v>
      </c>
      <c r="G66" s="8" t="s">
        <v>16</v>
      </c>
      <c r="H66" s="9"/>
      <c r="I66" s="8"/>
    </row>
    <row r="67" spans="1:9" x14ac:dyDescent="0.25">
      <c r="A67" s="8">
        <v>66</v>
      </c>
      <c r="B67" s="9">
        <v>10</v>
      </c>
      <c r="C67" s="9" t="s">
        <v>79</v>
      </c>
      <c r="D67" s="8" t="s">
        <v>227</v>
      </c>
      <c r="E67" s="9" t="s">
        <v>74</v>
      </c>
      <c r="F67" s="8" t="s">
        <v>16</v>
      </c>
      <c r="G67" s="8" t="s">
        <v>16</v>
      </c>
      <c r="H67" s="9" t="s">
        <v>17</v>
      </c>
      <c r="I67" s="9"/>
    </row>
    <row r="68" spans="1:9" x14ac:dyDescent="0.25">
      <c r="A68" s="8">
        <v>67</v>
      </c>
      <c r="B68" s="9">
        <v>11</v>
      </c>
      <c r="C68" s="9" t="s">
        <v>79</v>
      </c>
      <c r="D68" s="8" t="s">
        <v>230</v>
      </c>
      <c r="E68" s="9" t="s">
        <v>75</v>
      </c>
      <c r="F68" s="8" t="s">
        <v>16</v>
      </c>
      <c r="G68" s="8" t="s">
        <v>16</v>
      </c>
      <c r="H68" s="9"/>
      <c r="I68" s="8"/>
    </row>
    <row r="69" spans="1:9" x14ac:dyDescent="0.25">
      <c r="A69" s="8">
        <v>68</v>
      </c>
      <c r="B69" s="9">
        <v>12</v>
      </c>
      <c r="C69" s="9" t="s">
        <v>79</v>
      </c>
      <c r="D69" s="8" t="s">
        <v>225</v>
      </c>
      <c r="E69" s="9" t="s">
        <v>76</v>
      </c>
      <c r="F69" s="8" t="s">
        <v>16</v>
      </c>
      <c r="G69" s="8" t="s">
        <v>16</v>
      </c>
      <c r="H69" s="9"/>
      <c r="I69" s="8"/>
    </row>
    <row r="70" spans="1:9" x14ac:dyDescent="0.25">
      <c r="A70" s="8">
        <v>69</v>
      </c>
      <c r="B70" s="9">
        <v>13</v>
      </c>
      <c r="C70" s="9" t="s">
        <v>79</v>
      </c>
      <c r="D70" s="8" t="s">
        <v>229</v>
      </c>
      <c r="E70" s="9" t="s">
        <v>77</v>
      </c>
      <c r="F70" s="8" t="s">
        <v>16</v>
      </c>
      <c r="G70" s="8" t="s">
        <v>16</v>
      </c>
      <c r="H70" s="9"/>
      <c r="I70" s="8"/>
    </row>
    <row r="71" spans="1:9" x14ac:dyDescent="0.25">
      <c r="A71" s="8">
        <v>70</v>
      </c>
      <c r="B71" s="9">
        <v>14</v>
      </c>
      <c r="C71" s="9" t="s">
        <v>79</v>
      </c>
      <c r="D71" s="8" t="s">
        <v>222</v>
      </c>
      <c r="E71" s="9" t="s">
        <v>78</v>
      </c>
      <c r="F71" s="8" t="s">
        <v>16</v>
      </c>
      <c r="G71" s="8" t="s">
        <v>16</v>
      </c>
      <c r="H71" s="9"/>
      <c r="I71" s="8"/>
    </row>
    <row r="72" spans="1:9" x14ac:dyDescent="0.25">
      <c r="A72" s="8">
        <v>71</v>
      </c>
      <c r="B72" s="9">
        <v>1</v>
      </c>
      <c r="C72" s="9" t="s">
        <v>94</v>
      </c>
      <c r="D72" s="8" t="s">
        <v>226</v>
      </c>
      <c r="E72" s="9" t="s">
        <v>80</v>
      </c>
      <c r="F72" s="8" t="s">
        <v>16</v>
      </c>
      <c r="G72" s="8" t="s">
        <v>16</v>
      </c>
      <c r="H72" s="9"/>
      <c r="I72" s="8"/>
    </row>
    <row r="73" spans="1:9" x14ac:dyDescent="0.25">
      <c r="A73" s="8">
        <v>72</v>
      </c>
      <c r="B73" s="9">
        <v>2</v>
      </c>
      <c r="C73" s="9" t="s">
        <v>94</v>
      </c>
      <c r="D73" s="8" t="s">
        <v>233</v>
      </c>
      <c r="E73" s="9" t="s">
        <v>81</v>
      </c>
      <c r="F73" s="8" t="s">
        <v>16</v>
      </c>
      <c r="G73" s="8" t="s">
        <v>16</v>
      </c>
      <c r="H73" s="9"/>
      <c r="I73" s="8"/>
    </row>
    <row r="74" spans="1:9" x14ac:dyDescent="0.25">
      <c r="A74" s="8">
        <v>73</v>
      </c>
      <c r="B74" s="9">
        <v>3</v>
      </c>
      <c r="C74" s="9" t="s">
        <v>94</v>
      </c>
      <c r="D74" s="8" t="s">
        <v>228</v>
      </c>
      <c r="E74" s="9" t="s">
        <v>82</v>
      </c>
      <c r="F74" s="8" t="s">
        <v>16</v>
      </c>
      <c r="G74" s="8" t="s">
        <v>16</v>
      </c>
      <c r="H74" s="9"/>
      <c r="I74" s="8"/>
    </row>
    <row r="75" spans="1:9" x14ac:dyDescent="0.25">
      <c r="A75" s="8">
        <v>74</v>
      </c>
      <c r="B75" s="9">
        <v>4</v>
      </c>
      <c r="C75" s="9" t="s">
        <v>94</v>
      </c>
      <c r="D75" s="8" t="s">
        <v>232</v>
      </c>
      <c r="E75" s="9" t="s">
        <v>83</v>
      </c>
      <c r="F75" s="8" t="s">
        <v>16</v>
      </c>
      <c r="G75" s="8" t="s">
        <v>16</v>
      </c>
      <c r="H75" s="9"/>
      <c r="I75" s="8"/>
    </row>
    <row r="76" spans="1:9" x14ac:dyDescent="0.25">
      <c r="A76" s="8">
        <v>75</v>
      </c>
      <c r="B76" s="9">
        <v>5</v>
      </c>
      <c r="C76" s="9" t="s">
        <v>94</v>
      </c>
      <c r="D76" s="8" t="s">
        <v>221</v>
      </c>
      <c r="E76" s="9" t="s">
        <v>84</v>
      </c>
      <c r="F76" s="8" t="s">
        <v>16</v>
      </c>
      <c r="G76" s="8" t="s">
        <v>16</v>
      </c>
      <c r="H76" s="9"/>
      <c r="I76" s="8"/>
    </row>
    <row r="77" spans="1:9" x14ac:dyDescent="0.25">
      <c r="A77" s="8">
        <v>76</v>
      </c>
      <c r="B77" s="9">
        <v>6</v>
      </c>
      <c r="C77" s="9" t="s">
        <v>94</v>
      </c>
      <c r="D77" s="8" t="s">
        <v>220</v>
      </c>
      <c r="E77" s="9" t="s">
        <v>85</v>
      </c>
      <c r="F77" s="8" t="s">
        <v>16</v>
      </c>
      <c r="G77" s="8" t="s">
        <v>16</v>
      </c>
      <c r="H77" s="9"/>
      <c r="I77" s="8"/>
    </row>
    <row r="78" spans="1:9" x14ac:dyDescent="0.25">
      <c r="A78" s="8">
        <v>77</v>
      </c>
      <c r="B78" s="9">
        <v>7</v>
      </c>
      <c r="C78" s="9" t="s">
        <v>94</v>
      </c>
      <c r="D78" s="8" t="s">
        <v>224</v>
      </c>
      <c r="E78" s="9" t="s">
        <v>86</v>
      </c>
      <c r="F78" s="8" t="s">
        <v>16</v>
      </c>
      <c r="G78" s="8" t="s">
        <v>16</v>
      </c>
      <c r="H78" s="9"/>
      <c r="I78" s="8"/>
    </row>
    <row r="79" spans="1:9" x14ac:dyDescent="0.25">
      <c r="A79" s="8">
        <v>78</v>
      </c>
      <c r="B79" s="9">
        <v>8</v>
      </c>
      <c r="C79" s="9" t="s">
        <v>94</v>
      </c>
      <c r="D79" s="8" t="s">
        <v>223</v>
      </c>
      <c r="E79" s="9" t="s">
        <v>87</v>
      </c>
      <c r="F79" s="8" t="s">
        <v>16</v>
      </c>
      <c r="G79" s="8" t="s">
        <v>16</v>
      </c>
      <c r="H79" s="9"/>
      <c r="I79" s="8"/>
    </row>
    <row r="80" spans="1:9" x14ac:dyDescent="0.25">
      <c r="A80" s="8">
        <v>79</v>
      </c>
      <c r="B80" s="9">
        <v>9</v>
      </c>
      <c r="C80" s="9" t="s">
        <v>94</v>
      </c>
      <c r="D80" s="8" t="s">
        <v>231</v>
      </c>
      <c r="E80" s="9" t="s">
        <v>88</v>
      </c>
      <c r="F80" s="8" t="s">
        <v>16</v>
      </c>
      <c r="G80" s="8" t="s">
        <v>16</v>
      </c>
      <c r="H80" s="9"/>
      <c r="I80" s="8"/>
    </row>
    <row r="81" spans="1:9" x14ac:dyDescent="0.25">
      <c r="A81" s="8">
        <v>80</v>
      </c>
      <c r="B81" s="9">
        <v>10</v>
      </c>
      <c r="C81" s="9" t="s">
        <v>94</v>
      </c>
      <c r="D81" s="8" t="s">
        <v>227</v>
      </c>
      <c r="E81" s="9" t="s">
        <v>89</v>
      </c>
      <c r="F81" s="8" t="s">
        <v>16</v>
      </c>
      <c r="G81" s="8" t="s">
        <v>16</v>
      </c>
      <c r="H81" s="9" t="s">
        <v>17</v>
      </c>
      <c r="I81" s="8"/>
    </row>
    <row r="82" spans="1:9" x14ac:dyDescent="0.25">
      <c r="A82" s="8">
        <v>81</v>
      </c>
      <c r="B82" s="9">
        <v>11</v>
      </c>
      <c r="C82" s="9" t="s">
        <v>94</v>
      </c>
      <c r="D82" s="8" t="s">
        <v>230</v>
      </c>
      <c r="E82" s="9" t="s">
        <v>90</v>
      </c>
      <c r="F82" s="8" t="s">
        <v>16</v>
      </c>
      <c r="G82" s="8" t="s">
        <v>16</v>
      </c>
      <c r="H82" s="9" t="s">
        <v>17</v>
      </c>
      <c r="I82" s="8"/>
    </row>
    <row r="83" spans="1:9" x14ac:dyDescent="0.25">
      <c r="A83" s="8">
        <v>82</v>
      </c>
      <c r="B83" s="9">
        <v>12</v>
      </c>
      <c r="C83" s="9" t="s">
        <v>94</v>
      </c>
      <c r="D83" s="8" t="s">
        <v>225</v>
      </c>
      <c r="E83" s="9" t="s">
        <v>91</v>
      </c>
      <c r="F83" s="8" t="s">
        <v>16</v>
      </c>
      <c r="G83" s="8" t="s">
        <v>16</v>
      </c>
      <c r="H83" s="9"/>
      <c r="I83" s="8"/>
    </row>
    <row r="84" spans="1:9" x14ac:dyDescent="0.25">
      <c r="A84" s="8">
        <v>83</v>
      </c>
      <c r="B84" s="9">
        <v>13</v>
      </c>
      <c r="C84" s="9" t="s">
        <v>94</v>
      </c>
      <c r="D84" s="8" t="s">
        <v>229</v>
      </c>
      <c r="E84" s="9" t="s">
        <v>92</v>
      </c>
      <c r="F84" s="8" t="s">
        <v>16</v>
      </c>
      <c r="G84" s="8" t="s">
        <v>16</v>
      </c>
      <c r="H84" s="9"/>
      <c r="I84" s="8"/>
    </row>
    <row r="85" spans="1:9" x14ac:dyDescent="0.25">
      <c r="A85" s="8">
        <v>84</v>
      </c>
      <c r="B85" s="9">
        <v>14</v>
      </c>
      <c r="C85" s="9" t="s">
        <v>94</v>
      </c>
      <c r="D85" s="8" t="s">
        <v>222</v>
      </c>
      <c r="E85" s="9" t="s">
        <v>93</v>
      </c>
      <c r="F85" s="8" t="s">
        <v>16</v>
      </c>
      <c r="G85" s="8" t="s">
        <v>16</v>
      </c>
      <c r="H85" s="9" t="s">
        <v>17</v>
      </c>
      <c r="I85" s="9" t="s">
        <v>17</v>
      </c>
    </row>
    <row r="86" spans="1:9" x14ac:dyDescent="0.25">
      <c r="A86" s="8">
        <v>85</v>
      </c>
      <c r="B86" s="9">
        <v>1</v>
      </c>
      <c r="C86" s="9" t="s">
        <v>95</v>
      </c>
      <c r="D86" s="8" t="s">
        <v>226</v>
      </c>
      <c r="E86" s="9" t="s">
        <v>96</v>
      </c>
      <c r="F86" s="8" t="s">
        <v>16</v>
      </c>
      <c r="G86" s="8" t="s">
        <v>16</v>
      </c>
      <c r="H86" s="9" t="s">
        <v>17</v>
      </c>
      <c r="I86" s="9" t="s">
        <v>17</v>
      </c>
    </row>
    <row r="87" spans="1:9" x14ac:dyDescent="0.25">
      <c r="A87" s="8">
        <v>86</v>
      </c>
      <c r="B87" s="9">
        <v>2</v>
      </c>
      <c r="C87" s="9" t="s">
        <v>95</v>
      </c>
      <c r="D87" s="8" t="s">
        <v>233</v>
      </c>
      <c r="E87" s="9" t="s">
        <v>97</v>
      </c>
      <c r="F87" s="8" t="s">
        <v>16</v>
      </c>
      <c r="G87" s="8" t="s">
        <v>16</v>
      </c>
      <c r="H87" s="9"/>
      <c r="I87" s="8"/>
    </row>
    <row r="88" spans="1:9" x14ac:dyDescent="0.25">
      <c r="A88" s="8">
        <v>87</v>
      </c>
      <c r="B88" s="9">
        <v>3</v>
      </c>
      <c r="C88" s="9" t="s">
        <v>95</v>
      </c>
      <c r="D88" s="8" t="s">
        <v>228</v>
      </c>
      <c r="E88" s="9" t="s">
        <v>98</v>
      </c>
      <c r="F88" s="8" t="s">
        <v>16</v>
      </c>
      <c r="G88" s="8" t="s">
        <v>16</v>
      </c>
      <c r="H88" s="9"/>
      <c r="I88" s="8"/>
    </row>
    <row r="89" spans="1:9" x14ac:dyDescent="0.25">
      <c r="A89" s="8">
        <v>88</v>
      </c>
      <c r="B89" s="9">
        <v>4</v>
      </c>
      <c r="C89" s="9" t="s">
        <v>95</v>
      </c>
      <c r="D89" s="8" t="s">
        <v>232</v>
      </c>
      <c r="E89" s="9" t="s">
        <v>99</v>
      </c>
      <c r="F89" s="8" t="s">
        <v>16</v>
      </c>
      <c r="G89" s="8" t="s">
        <v>16</v>
      </c>
      <c r="H89" s="9"/>
      <c r="I89" s="8"/>
    </row>
    <row r="90" spans="1:9" x14ac:dyDescent="0.25">
      <c r="A90" s="8">
        <v>89</v>
      </c>
      <c r="B90" s="9">
        <v>5</v>
      </c>
      <c r="C90" s="9" t="s">
        <v>95</v>
      </c>
      <c r="D90" s="8" t="s">
        <v>221</v>
      </c>
      <c r="E90" s="9" t="s">
        <v>100</v>
      </c>
      <c r="F90" s="8" t="s">
        <v>16</v>
      </c>
      <c r="G90" s="8" t="s">
        <v>16</v>
      </c>
      <c r="H90" s="9"/>
      <c r="I90" s="8"/>
    </row>
    <row r="91" spans="1:9" x14ac:dyDescent="0.25">
      <c r="A91" s="8">
        <v>90</v>
      </c>
      <c r="B91" s="9">
        <v>6</v>
      </c>
      <c r="C91" s="9" t="s">
        <v>95</v>
      </c>
      <c r="D91" s="8" t="s">
        <v>220</v>
      </c>
      <c r="E91" s="9" t="s">
        <v>101</v>
      </c>
      <c r="F91" s="8" t="s">
        <v>16</v>
      </c>
      <c r="G91" s="8" t="s">
        <v>16</v>
      </c>
      <c r="H91" s="9"/>
      <c r="I91" s="8"/>
    </row>
    <row r="92" spans="1:9" x14ac:dyDescent="0.25">
      <c r="A92" s="8">
        <v>91</v>
      </c>
      <c r="B92" s="9">
        <v>7</v>
      </c>
      <c r="C92" s="9" t="s">
        <v>95</v>
      </c>
      <c r="D92" s="8" t="s">
        <v>224</v>
      </c>
      <c r="E92" s="9" t="s">
        <v>102</v>
      </c>
      <c r="F92" s="8" t="s">
        <v>16</v>
      </c>
      <c r="G92" s="8" t="s">
        <v>16</v>
      </c>
      <c r="H92" s="9"/>
      <c r="I92" s="8"/>
    </row>
    <row r="93" spans="1:9" x14ac:dyDescent="0.25">
      <c r="A93" s="8">
        <v>92</v>
      </c>
      <c r="B93" s="9">
        <v>8</v>
      </c>
      <c r="C93" s="9" t="s">
        <v>95</v>
      </c>
      <c r="D93" s="8" t="s">
        <v>223</v>
      </c>
      <c r="E93" s="9" t="s">
        <v>103</v>
      </c>
      <c r="F93" s="8" t="s">
        <v>16</v>
      </c>
      <c r="G93" s="8" t="s">
        <v>16</v>
      </c>
      <c r="H93" s="9"/>
      <c r="I93" s="8"/>
    </row>
    <row r="94" spans="1:9" x14ac:dyDescent="0.25">
      <c r="A94" s="8">
        <v>93</v>
      </c>
      <c r="B94" s="9">
        <v>9</v>
      </c>
      <c r="C94" s="9" t="s">
        <v>95</v>
      </c>
      <c r="D94" s="8" t="s">
        <v>231</v>
      </c>
      <c r="E94" s="9" t="s">
        <v>104</v>
      </c>
      <c r="F94" s="8" t="s">
        <v>16</v>
      </c>
      <c r="G94" s="8" t="s">
        <v>16</v>
      </c>
      <c r="H94" s="9"/>
      <c r="I94" s="8"/>
    </row>
    <row r="95" spans="1:9" x14ac:dyDescent="0.25">
      <c r="A95" s="8">
        <v>94</v>
      </c>
      <c r="B95" s="9">
        <v>10</v>
      </c>
      <c r="C95" s="9" t="s">
        <v>95</v>
      </c>
      <c r="D95" s="8" t="s">
        <v>227</v>
      </c>
      <c r="E95" s="9" t="s">
        <v>105</v>
      </c>
      <c r="F95" s="8" t="s">
        <v>16</v>
      </c>
      <c r="G95" s="8" t="s">
        <v>16</v>
      </c>
      <c r="H95" s="9" t="s">
        <v>17</v>
      </c>
      <c r="I95" s="8"/>
    </row>
    <row r="96" spans="1:9" x14ac:dyDescent="0.25">
      <c r="A96" s="8">
        <v>95</v>
      </c>
      <c r="B96" s="9">
        <v>11</v>
      </c>
      <c r="C96" s="9" t="s">
        <v>95</v>
      </c>
      <c r="D96" s="8" t="s">
        <v>230</v>
      </c>
      <c r="E96" s="9" t="s">
        <v>106</v>
      </c>
      <c r="F96" s="8" t="s">
        <v>16</v>
      </c>
      <c r="G96" s="8" t="s">
        <v>16</v>
      </c>
      <c r="H96" s="9"/>
      <c r="I96" s="8"/>
    </row>
    <row r="97" spans="1:9" x14ac:dyDescent="0.25">
      <c r="A97" s="8">
        <v>96</v>
      </c>
      <c r="B97" s="9">
        <v>12</v>
      </c>
      <c r="C97" s="9" t="s">
        <v>95</v>
      </c>
      <c r="D97" s="8" t="s">
        <v>225</v>
      </c>
      <c r="E97" s="9" t="s">
        <v>107</v>
      </c>
      <c r="F97" s="8" t="s">
        <v>16</v>
      </c>
      <c r="G97" s="8" t="s">
        <v>16</v>
      </c>
      <c r="H97" s="9"/>
      <c r="I97" s="8"/>
    </row>
    <row r="98" spans="1:9" x14ac:dyDescent="0.25">
      <c r="A98" s="8">
        <v>97</v>
      </c>
      <c r="B98" s="9">
        <v>13</v>
      </c>
      <c r="C98" s="9" t="s">
        <v>95</v>
      </c>
      <c r="D98" s="8" t="s">
        <v>229</v>
      </c>
      <c r="E98" s="9" t="s">
        <v>108</v>
      </c>
      <c r="F98" s="8" t="s">
        <v>16</v>
      </c>
      <c r="G98" s="8" t="s">
        <v>16</v>
      </c>
      <c r="H98" s="9"/>
      <c r="I98" s="8"/>
    </row>
    <row r="99" spans="1:9" x14ac:dyDescent="0.25">
      <c r="A99" s="8">
        <v>98</v>
      </c>
      <c r="B99" s="9">
        <v>14</v>
      </c>
      <c r="C99" s="9" t="s">
        <v>95</v>
      </c>
      <c r="D99" s="8" t="s">
        <v>222</v>
      </c>
      <c r="E99" s="9" t="s">
        <v>109</v>
      </c>
      <c r="F99" s="8" t="s">
        <v>16</v>
      </c>
      <c r="G99" s="8" t="s">
        <v>16</v>
      </c>
      <c r="H99" s="9"/>
      <c r="I99" s="8"/>
    </row>
    <row r="100" spans="1:9" x14ac:dyDescent="0.25">
      <c r="A100" s="8">
        <v>99</v>
      </c>
      <c r="B100" s="9">
        <v>1</v>
      </c>
      <c r="C100" s="9" t="s">
        <v>110</v>
      </c>
      <c r="D100" s="8" t="s">
        <v>226</v>
      </c>
      <c r="E100" s="9" t="s">
        <v>111</v>
      </c>
      <c r="F100" s="8" t="s">
        <v>16</v>
      </c>
      <c r="G100" s="8" t="s">
        <v>16</v>
      </c>
      <c r="H100" s="9"/>
      <c r="I100" s="8"/>
    </row>
    <row r="101" spans="1:9" x14ac:dyDescent="0.25">
      <c r="A101" s="8">
        <v>100</v>
      </c>
      <c r="B101" s="9">
        <v>2</v>
      </c>
      <c r="C101" s="9" t="s">
        <v>110</v>
      </c>
      <c r="D101" s="8" t="s">
        <v>233</v>
      </c>
      <c r="E101" s="9" t="s">
        <v>112</v>
      </c>
      <c r="F101" s="8" t="s">
        <v>16</v>
      </c>
      <c r="G101" s="8" t="s">
        <v>16</v>
      </c>
      <c r="H101" s="9" t="s">
        <v>17</v>
      </c>
      <c r="I101" s="8"/>
    </row>
    <row r="102" spans="1:9" x14ac:dyDescent="0.25">
      <c r="A102" s="8">
        <v>101</v>
      </c>
      <c r="B102" s="9">
        <v>3</v>
      </c>
      <c r="C102" s="9" t="s">
        <v>110</v>
      </c>
      <c r="D102" s="8" t="s">
        <v>228</v>
      </c>
      <c r="E102" s="9" t="s">
        <v>113</v>
      </c>
      <c r="F102" s="8" t="s">
        <v>16</v>
      </c>
      <c r="G102" s="8" t="s">
        <v>16</v>
      </c>
      <c r="H102" s="9"/>
      <c r="I102" s="8"/>
    </row>
    <row r="103" spans="1:9" x14ac:dyDescent="0.25">
      <c r="A103" s="8">
        <v>102</v>
      </c>
      <c r="B103" s="9">
        <v>4</v>
      </c>
      <c r="C103" s="9" t="s">
        <v>110</v>
      </c>
      <c r="D103" s="8" t="s">
        <v>232</v>
      </c>
      <c r="E103" s="9" t="s">
        <v>114</v>
      </c>
      <c r="F103" s="8" t="s">
        <v>16</v>
      </c>
      <c r="G103" s="8" t="s">
        <v>16</v>
      </c>
      <c r="H103" s="9"/>
      <c r="I103" s="8"/>
    </row>
    <row r="104" spans="1:9" x14ac:dyDescent="0.25">
      <c r="A104" s="8">
        <v>103</v>
      </c>
      <c r="B104" s="9">
        <v>5</v>
      </c>
      <c r="C104" s="9" t="s">
        <v>110</v>
      </c>
      <c r="D104" s="8" t="s">
        <v>221</v>
      </c>
      <c r="E104" s="9" t="s">
        <v>115</v>
      </c>
      <c r="F104" s="8" t="s">
        <v>16</v>
      </c>
      <c r="G104" s="8" t="s">
        <v>16</v>
      </c>
      <c r="H104" s="9"/>
      <c r="I104" s="8"/>
    </row>
    <row r="105" spans="1:9" x14ac:dyDescent="0.25">
      <c r="A105" s="8">
        <v>104</v>
      </c>
      <c r="B105" s="9">
        <v>6</v>
      </c>
      <c r="C105" s="9" t="s">
        <v>110</v>
      </c>
      <c r="D105" s="8" t="s">
        <v>220</v>
      </c>
      <c r="E105" s="9" t="s">
        <v>116</v>
      </c>
      <c r="F105" s="8" t="s">
        <v>16</v>
      </c>
      <c r="G105" s="8" t="s">
        <v>16</v>
      </c>
      <c r="H105" s="9" t="s">
        <v>17</v>
      </c>
      <c r="I105" s="8"/>
    </row>
    <row r="106" spans="1:9" x14ac:dyDescent="0.25">
      <c r="A106" s="8">
        <v>105</v>
      </c>
      <c r="B106" s="9">
        <v>7</v>
      </c>
      <c r="C106" s="9" t="s">
        <v>110</v>
      </c>
      <c r="D106" s="8" t="s">
        <v>224</v>
      </c>
      <c r="E106" s="9" t="s">
        <v>117</v>
      </c>
      <c r="F106" s="8" t="s">
        <v>16</v>
      </c>
      <c r="G106" s="8" t="s">
        <v>16</v>
      </c>
      <c r="H106" s="9"/>
      <c r="I106" s="8"/>
    </row>
    <row r="107" spans="1:9" x14ac:dyDescent="0.25">
      <c r="A107" s="8">
        <v>106</v>
      </c>
      <c r="B107" s="9">
        <v>8</v>
      </c>
      <c r="C107" s="9" t="s">
        <v>110</v>
      </c>
      <c r="D107" s="8" t="s">
        <v>223</v>
      </c>
      <c r="E107" s="9" t="s">
        <v>118</v>
      </c>
      <c r="F107" s="8" t="s">
        <v>16</v>
      </c>
      <c r="G107" s="8" t="s">
        <v>16</v>
      </c>
      <c r="H107" s="9" t="s">
        <v>17</v>
      </c>
      <c r="I107" s="8"/>
    </row>
    <row r="108" spans="1:9" x14ac:dyDescent="0.25">
      <c r="A108" s="8">
        <v>107</v>
      </c>
      <c r="B108" s="9">
        <v>9</v>
      </c>
      <c r="C108" s="9" t="s">
        <v>110</v>
      </c>
      <c r="D108" s="8" t="s">
        <v>231</v>
      </c>
      <c r="E108" s="9" t="s">
        <v>119</v>
      </c>
      <c r="F108" s="8" t="s">
        <v>16</v>
      </c>
      <c r="G108" s="8" t="s">
        <v>16</v>
      </c>
      <c r="H108" s="9"/>
      <c r="I108" s="8"/>
    </row>
    <row r="109" spans="1:9" x14ac:dyDescent="0.25">
      <c r="A109" s="8">
        <v>108</v>
      </c>
      <c r="B109" s="9">
        <v>10</v>
      </c>
      <c r="C109" s="9" t="s">
        <v>110</v>
      </c>
      <c r="D109" s="8" t="s">
        <v>227</v>
      </c>
      <c r="E109" s="9" t="s">
        <v>120</v>
      </c>
      <c r="F109" s="8" t="s">
        <v>16</v>
      </c>
      <c r="G109" s="8" t="s">
        <v>16</v>
      </c>
      <c r="H109" s="9" t="s">
        <v>17</v>
      </c>
      <c r="I109" s="8"/>
    </row>
    <row r="110" spans="1:9" x14ac:dyDescent="0.25">
      <c r="A110" s="8">
        <v>109</v>
      </c>
      <c r="B110" s="9">
        <v>11</v>
      </c>
      <c r="C110" s="9" t="s">
        <v>110</v>
      </c>
      <c r="D110" s="8" t="s">
        <v>230</v>
      </c>
      <c r="E110" s="9" t="s">
        <v>121</v>
      </c>
      <c r="F110" s="8" t="s">
        <v>16</v>
      </c>
      <c r="G110" s="8" t="s">
        <v>16</v>
      </c>
      <c r="H110" s="9" t="s">
        <v>17</v>
      </c>
      <c r="I110" s="8"/>
    </row>
    <row r="111" spans="1:9" x14ac:dyDescent="0.25">
      <c r="A111" s="8">
        <v>110</v>
      </c>
      <c r="B111" s="9">
        <v>12</v>
      </c>
      <c r="C111" s="9" t="s">
        <v>110</v>
      </c>
      <c r="D111" s="8" t="s">
        <v>225</v>
      </c>
      <c r="E111" s="9" t="s">
        <v>122</v>
      </c>
      <c r="F111" s="8" t="s">
        <v>16</v>
      </c>
      <c r="G111" s="8" t="s">
        <v>16</v>
      </c>
      <c r="H111" s="9"/>
      <c r="I111" s="8"/>
    </row>
    <row r="112" spans="1:9" x14ac:dyDescent="0.25">
      <c r="A112" s="8">
        <v>111</v>
      </c>
      <c r="B112" s="9">
        <v>13</v>
      </c>
      <c r="C112" s="9" t="s">
        <v>110</v>
      </c>
      <c r="D112" s="8" t="s">
        <v>229</v>
      </c>
      <c r="E112" s="9" t="s">
        <v>123</v>
      </c>
      <c r="F112" s="8" t="s">
        <v>16</v>
      </c>
      <c r="G112" s="8" t="s">
        <v>16</v>
      </c>
      <c r="H112" s="9"/>
      <c r="I112" s="8"/>
    </row>
    <row r="113" spans="1:9" x14ac:dyDescent="0.25">
      <c r="A113" s="8">
        <v>112</v>
      </c>
      <c r="B113" s="9">
        <v>14</v>
      </c>
      <c r="C113" s="9" t="s">
        <v>110</v>
      </c>
      <c r="D113" s="8" t="s">
        <v>222</v>
      </c>
      <c r="E113" s="9" t="s">
        <v>124</v>
      </c>
      <c r="F113" s="8" t="s">
        <v>16</v>
      </c>
      <c r="G113" s="8" t="s">
        <v>16</v>
      </c>
      <c r="H113" s="9" t="s">
        <v>17</v>
      </c>
      <c r="I113" s="9" t="s">
        <v>17</v>
      </c>
    </row>
    <row r="114" spans="1:9" x14ac:dyDescent="0.25">
      <c r="A114" s="8">
        <v>113</v>
      </c>
      <c r="B114" s="9">
        <v>1</v>
      </c>
      <c r="C114" s="9" t="s">
        <v>139</v>
      </c>
      <c r="D114" s="8" t="s">
        <v>226</v>
      </c>
      <c r="E114" s="9" t="s">
        <v>125</v>
      </c>
      <c r="F114" s="8" t="s">
        <v>16</v>
      </c>
      <c r="G114" s="8" t="s">
        <v>16</v>
      </c>
      <c r="H114" s="9"/>
      <c r="I114" s="8"/>
    </row>
    <row r="115" spans="1:9" x14ac:dyDescent="0.25">
      <c r="A115" s="8">
        <v>114</v>
      </c>
      <c r="B115" s="9">
        <v>2</v>
      </c>
      <c r="C115" s="9" t="s">
        <v>139</v>
      </c>
      <c r="D115" s="8" t="s">
        <v>233</v>
      </c>
      <c r="E115" s="9" t="s">
        <v>126</v>
      </c>
      <c r="F115" s="8" t="s">
        <v>16</v>
      </c>
      <c r="G115" s="8" t="s">
        <v>16</v>
      </c>
      <c r="H115" s="9" t="s">
        <v>17</v>
      </c>
      <c r="I115" s="9" t="s">
        <v>17</v>
      </c>
    </row>
    <row r="116" spans="1:9" x14ac:dyDescent="0.25">
      <c r="A116" s="8">
        <v>115</v>
      </c>
      <c r="B116" s="9">
        <v>3</v>
      </c>
      <c r="C116" s="9" t="s">
        <v>139</v>
      </c>
      <c r="D116" s="8" t="s">
        <v>228</v>
      </c>
      <c r="E116" s="9" t="s">
        <v>127</v>
      </c>
      <c r="F116" s="8" t="s">
        <v>16</v>
      </c>
      <c r="G116" s="8" t="s">
        <v>16</v>
      </c>
      <c r="H116" s="9"/>
      <c r="I116" s="8"/>
    </row>
    <row r="117" spans="1:9" x14ac:dyDescent="0.25">
      <c r="A117" s="8">
        <v>116</v>
      </c>
      <c r="B117" s="9">
        <v>4</v>
      </c>
      <c r="C117" s="9" t="s">
        <v>139</v>
      </c>
      <c r="D117" s="8" t="s">
        <v>232</v>
      </c>
      <c r="E117" s="9" t="s">
        <v>128</v>
      </c>
      <c r="F117" s="8" t="s">
        <v>16</v>
      </c>
      <c r="G117" s="8" t="s">
        <v>16</v>
      </c>
      <c r="H117" s="9"/>
      <c r="I117" s="9" t="s">
        <v>17</v>
      </c>
    </row>
    <row r="118" spans="1:9" x14ac:dyDescent="0.25">
      <c r="A118" s="8">
        <v>117</v>
      </c>
      <c r="B118" s="9">
        <v>5</v>
      </c>
      <c r="C118" s="9" t="s">
        <v>139</v>
      </c>
      <c r="D118" s="8" t="s">
        <v>221</v>
      </c>
      <c r="E118" s="9" t="s">
        <v>129</v>
      </c>
      <c r="F118" s="8" t="s">
        <v>16</v>
      </c>
      <c r="G118" s="8" t="s">
        <v>16</v>
      </c>
      <c r="H118" s="9"/>
      <c r="I118" s="8"/>
    </row>
    <row r="119" spans="1:9" x14ac:dyDescent="0.25">
      <c r="A119" s="8">
        <v>118</v>
      </c>
      <c r="B119" s="9">
        <v>6</v>
      </c>
      <c r="C119" s="9" t="s">
        <v>139</v>
      </c>
      <c r="D119" s="8" t="s">
        <v>220</v>
      </c>
      <c r="E119" s="9" t="s">
        <v>130</v>
      </c>
      <c r="F119" s="8" t="s">
        <v>16</v>
      </c>
      <c r="G119" s="8" t="s">
        <v>16</v>
      </c>
      <c r="H119" s="9"/>
      <c r="I119" s="8"/>
    </row>
    <row r="120" spans="1:9" x14ac:dyDescent="0.25">
      <c r="A120" s="8">
        <v>119</v>
      </c>
      <c r="B120" s="9">
        <v>7</v>
      </c>
      <c r="C120" s="9" t="s">
        <v>139</v>
      </c>
      <c r="D120" s="8" t="s">
        <v>224</v>
      </c>
      <c r="E120" s="9" t="s">
        <v>131</v>
      </c>
      <c r="F120" s="8" t="s">
        <v>16</v>
      </c>
      <c r="G120" s="8" t="s">
        <v>16</v>
      </c>
      <c r="H120" s="9"/>
      <c r="I120" s="8"/>
    </row>
    <row r="121" spans="1:9" x14ac:dyDescent="0.25">
      <c r="A121" s="8">
        <v>120</v>
      </c>
      <c r="B121" s="9">
        <v>8</v>
      </c>
      <c r="C121" s="9" t="s">
        <v>139</v>
      </c>
      <c r="D121" s="8" t="s">
        <v>223</v>
      </c>
      <c r="E121" s="9" t="s">
        <v>132</v>
      </c>
      <c r="F121" s="8" t="s">
        <v>16</v>
      </c>
      <c r="G121" s="8" t="s">
        <v>16</v>
      </c>
      <c r="H121" s="9"/>
      <c r="I121" s="8"/>
    </row>
    <row r="122" spans="1:9" x14ac:dyDescent="0.25">
      <c r="A122" s="8">
        <v>121</v>
      </c>
      <c r="B122" s="9">
        <v>9</v>
      </c>
      <c r="C122" s="9" t="s">
        <v>139</v>
      </c>
      <c r="D122" s="8" t="s">
        <v>231</v>
      </c>
      <c r="E122" s="9" t="s">
        <v>133</v>
      </c>
      <c r="F122" s="8" t="s">
        <v>16</v>
      </c>
      <c r="G122" s="8" t="s">
        <v>16</v>
      </c>
      <c r="H122" s="9"/>
      <c r="I122" s="8"/>
    </row>
    <row r="123" spans="1:9" x14ac:dyDescent="0.25">
      <c r="A123" s="8">
        <v>122</v>
      </c>
      <c r="B123" s="9">
        <v>10</v>
      </c>
      <c r="C123" s="9" t="s">
        <v>139</v>
      </c>
      <c r="D123" s="8" t="s">
        <v>227</v>
      </c>
      <c r="E123" s="9" t="s">
        <v>134</v>
      </c>
      <c r="F123" s="8" t="s">
        <v>16</v>
      </c>
      <c r="G123" s="8" t="s">
        <v>16</v>
      </c>
      <c r="H123" s="9" t="s">
        <v>17</v>
      </c>
      <c r="I123" s="9" t="s">
        <v>17</v>
      </c>
    </row>
    <row r="124" spans="1:9" x14ac:dyDescent="0.25">
      <c r="A124" s="8">
        <v>123</v>
      </c>
      <c r="B124" s="9">
        <v>11</v>
      </c>
      <c r="C124" s="9" t="s">
        <v>139</v>
      </c>
      <c r="D124" s="8" t="s">
        <v>230</v>
      </c>
      <c r="E124" s="9" t="s">
        <v>135</v>
      </c>
      <c r="F124" s="8" t="s">
        <v>16</v>
      </c>
      <c r="G124" s="8" t="s">
        <v>16</v>
      </c>
      <c r="H124" s="9"/>
      <c r="I124" s="8"/>
    </row>
    <row r="125" spans="1:9" x14ac:dyDescent="0.25">
      <c r="A125" s="8">
        <v>124</v>
      </c>
      <c r="B125" s="9">
        <v>12</v>
      </c>
      <c r="C125" s="9" t="s">
        <v>139</v>
      </c>
      <c r="D125" s="8" t="s">
        <v>225</v>
      </c>
      <c r="E125" s="9" t="s">
        <v>136</v>
      </c>
      <c r="F125" s="8" t="s">
        <v>16</v>
      </c>
      <c r="G125" s="8" t="s">
        <v>16</v>
      </c>
      <c r="H125" s="9"/>
      <c r="I125" s="8"/>
    </row>
    <row r="126" spans="1:9" x14ac:dyDescent="0.25">
      <c r="A126" s="8">
        <v>125</v>
      </c>
      <c r="B126" s="9">
        <v>13</v>
      </c>
      <c r="C126" s="9" t="s">
        <v>139</v>
      </c>
      <c r="D126" s="8" t="s">
        <v>229</v>
      </c>
      <c r="E126" s="9" t="s">
        <v>137</v>
      </c>
      <c r="F126" s="8" t="s">
        <v>16</v>
      </c>
      <c r="G126" s="8" t="s">
        <v>16</v>
      </c>
      <c r="H126" s="9"/>
      <c r="I126" s="8"/>
    </row>
    <row r="127" spans="1:9" x14ac:dyDescent="0.25">
      <c r="A127" s="8">
        <v>126</v>
      </c>
      <c r="B127" s="9">
        <v>14</v>
      </c>
      <c r="C127" s="9" t="s">
        <v>139</v>
      </c>
      <c r="D127" s="8" t="s">
        <v>222</v>
      </c>
      <c r="E127" s="9" t="s">
        <v>138</v>
      </c>
      <c r="F127" s="8" t="s">
        <v>16</v>
      </c>
      <c r="G127" s="8" t="s">
        <v>16</v>
      </c>
      <c r="H127" s="9"/>
      <c r="I127" s="8"/>
    </row>
    <row r="128" spans="1:9" x14ac:dyDescent="0.25">
      <c r="A128" s="8">
        <v>127</v>
      </c>
      <c r="B128" s="9">
        <v>1</v>
      </c>
      <c r="C128" s="9" t="s">
        <v>154</v>
      </c>
      <c r="D128" s="8" t="s">
        <v>226</v>
      </c>
      <c r="E128" s="9" t="s">
        <v>140</v>
      </c>
      <c r="F128" s="8" t="s">
        <v>16</v>
      </c>
      <c r="G128" s="8" t="s">
        <v>16</v>
      </c>
      <c r="H128" s="9"/>
      <c r="I128" s="8"/>
    </row>
    <row r="129" spans="1:9" x14ac:dyDescent="0.25">
      <c r="A129" s="8">
        <v>128</v>
      </c>
      <c r="B129" s="9">
        <v>2</v>
      </c>
      <c r="C129" s="9" t="s">
        <v>154</v>
      </c>
      <c r="D129" s="8" t="s">
        <v>233</v>
      </c>
      <c r="E129" s="9" t="s">
        <v>141</v>
      </c>
      <c r="F129" s="8" t="s">
        <v>16</v>
      </c>
      <c r="G129" s="8" t="s">
        <v>16</v>
      </c>
      <c r="H129" s="9"/>
      <c r="I129" s="8"/>
    </row>
    <row r="130" spans="1:9" x14ac:dyDescent="0.25">
      <c r="A130" s="8">
        <v>129</v>
      </c>
      <c r="B130" s="9">
        <v>3</v>
      </c>
      <c r="C130" s="9" t="s">
        <v>154</v>
      </c>
      <c r="D130" s="8" t="s">
        <v>228</v>
      </c>
      <c r="E130" s="9" t="s">
        <v>142</v>
      </c>
      <c r="F130" s="8" t="s">
        <v>16</v>
      </c>
      <c r="G130" s="8" t="s">
        <v>16</v>
      </c>
      <c r="H130" s="9"/>
      <c r="I130" s="8"/>
    </row>
    <row r="131" spans="1:9" x14ac:dyDescent="0.25">
      <c r="A131" s="8">
        <v>130</v>
      </c>
      <c r="B131" s="9">
        <v>4</v>
      </c>
      <c r="C131" s="9" t="s">
        <v>154</v>
      </c>
      <c r="D131" s="8" t="s">
        <v>232</v>
      </c>
      <c r="E131" s="9" t="s">
        <v>143</v>
      </c>
      <c r="F131" s="8" t="s">
        <v>16</v>
      </c>
      <c r="G131" s="8" t="s">
        <v>16</v>
      </c>
      <c r="H131" s="9"/>
      <c r="I131" s="8"/>
    </row>
    <row r="132" spans="1:9" x14ac:dyDescent="0.25">
      <c r="A132" s="8">
        <v>131</v>
      </c>
      <c r="B132" s="9">
        <v>5</v>
      </c>
      <c r="C132" s="9" t="s">
        <v>154</v>
      </c>
      <c r="D132" s="8" t="s">
        <v>221</v>
      </c>
      <c r="E132" s="9" t="s">
        <v>144</v>
      </c>
      <c r="F132" s="8" t="s">
        <v>16</v>
      </c>
      <c r="G132" s="8" t="s">
        <v>16</v>
      </c>
      <c r="H132" s="9"/>
      <c r="I132" s="8"/>
    </row>
    <row r="133" spans="1:9" x14ac:dyDescent="0.25">
      <c r="A133" s="8">
        <v>132</v>
      </c>
      <c r="B133" s="9">
        <v>6</v>
      </c>
      <c r="C133" s="9" t="s">
        <v>154</v>
      </c>
      <c r="D133" s="8" t="s">
        <v>220</v>
      </c>
      <c r="E133" s="9" t="s">
        <v>145</v>
      </c>
      <c r="F133" s="8" t="s">
        <v>16</v>
      </c>
      <c r="G133" s="8" t="s">
        <v>16</v>
      </c>
      <c r="H133" s="9"/>
      <c r="I133" s="8"/>
    </row>
    <row r="134" spans="1:9" x14ac:dyDescent="0.25">
      <c r="A134" s="8">
        <v>133</v>
      </c>
      <c r="B134" s="9">
        <v>7</v>
      </c>
      <c r="C134" s="9" t="s">
        <v>154</v>
      </c>
      <c r="D134" s="8" t="s">
        <v>224</v>
      </c>
      <c r="E134" s="9" t="s">
        <v>146</v>
      </c>
      <c r="F134" s="8" t="s">
        <v>16</v>
      </c>
      <c r="G134" s="8" t="s">
        <v>16</v>
      </c>
      <c r="H134" s="9"/>
      <c r="I134" s="8"/>
    </row>
    <row r="135" spans="1:9" x14ac:dyDescent="0.25">
      <c r="A135" s="8">
        <v>134</v>
      </c>
      <c r="B135" s="9">
        <v>8</v>
      </c>
      <c r="C135" s="9" t="s">
        <v>154</v>
      </c>
      <c r="D135" s="8" t="s">
        <v>223</v>
      </c>
      <c r="E135" s="9" t="s">
        <v>147</v>
      </c>
      <c r="F135" s="8" t="s">
        <v>16</v>
      </c>
      <c r="G135" s="8" t="s">
        <v>16</v>
      </c>
      <c r="H135" s="9"/>
      <c r="I135" s="8"/>
    </row>
    <row r="136" spans="1:9" x14ac:dyDescent="0.25">
      <c r="A136" s="8">
        <v>135</v>
      </c>
      <c r="B136" s="9">
        <v>9</v>
      </c>
      <c r="C136" s="9" t="s">
        <v>154</v>
      </c>
      <c r="D136" s="8" t="s">
        <v>231</v>
      </c>
      <c r="E136" s="9" t="s">
        <v>148</v>
      </c>
      <c r="F136" s="8" t="s">
        <v>16</v>
      </c>
      <c r="G136" s="8" t="s">
        <v>16</v>
      </c>
      <c r="H136" s="9"/>
      <c r="I136" s="8"/>
    </row>
    <row r="137" spans="1:9" x14ac:dyDescent="0.25">
      <c r="A137" s="8">
        <v>136</v>
      </c>
      <c r="B137" s="9">
        <v>10</v>
      </c>
      <c r="C137" s="9" t="s">
        <v>154</v>
      </c>
      <c r="D137" s="8" t="s">
        <v>227</v>
      </c>
      <c r="E137" s="9" t="s">
        <v>149</v>
      </c>
      <c r="F137" s="8" t="s">
        <v>16</v>
      </c>
      <c r="G137" s="8" t="s">
        <v>16</v>
      </c>
      <c r="H137" s="9" t="s">
        <v>17</v>
      </c>
      <c r="I137" s="8"/>
    </row>
    <row r="138" spans="1:9" x14ac:dyDescent="0.25">
      <c r="A138" s="8">
        <v>137</v>
      </c>
      <c r="B138" s="9">
        <v>11</v>
      </c>
      <c r="C138" s="9" t="s">
        <v>154</v>
      </c>
      <c r="D138" s="8" t="s">
        <v>230</v>
      </c>
      <c r="E138" s="9" t="s">
        <v>150</v>
      </c>
      <c r="F138" s="8" t="s">
        <v>16</v>
      </c>
      <c r="G138" s="8" t="s">
        <v>16</v>
      </c>
      <c r="H138" s="9"/>
      <c r="I138" s="8"/>
    </row>
    <row r="139" spans="1:9" x14ac:dyDescent="0.25">
      <c r="A139" s="8">
        <v>138</v>
      </c>
      <c r="B139" s="9">
        <v>12</v>
      </c>
      <c r="C139" s="9" t="s">
        <v>154</v>
      </c>
      <c r="D139" s="8" t="s">
        <v>225</v>
      </c>
      <c r="E139" s="9" t="s">
        <v>151</v>
      </c>
      <c r="F139" s="8" t="s">
        <v>16</v>
      </c>
      <c r="G139" s="8" t="s">
        <v>16</v>
      </c>
      <c r="H139" s="9"/>
      <c r="I139" s="9" t="s">
        <v>17</v>
      </c>
    </row>
    <row r="140" spans="1:9" x14ac:dyDescent="0.25">
      <c r="A140" s="8">
        <v>139</v>
      </c>
      <c r="B140" s="9">
        <v>13</v>
      </c>
      <c r="C140" s="9" t="s">
        <v>154</v>
      </c>
      <c r="D140" s="8" t="s">
        <v>229</v>
      </c>
      <c r="E140" s="9" t="s">
        <v>152</v>
      </c>
      <c r="F140" s="8" t="s">
        <v>16</v>
      </c>
      <c r="G140" s="8" t="s">
        <v>16</v>
      </c>
      <c r="H140" s="9"/>
      <c r="I140" s="8"/>
    </row>
    <row r="141" spans="1:9" x14ac:dyDescent="0.25">
      <c r="A141" s="8">
        <v>140</v>
      </c>
      <c r="B141" s="9">
        <v>14</v>
      </c>
      <c r="C141" s="9" t="s">
        <v>154</v>
      </c>
      <c r="D141" s="8" t="s">
        <v>222</v>
      </c>
      <c r="E141" s="9" t="s">
        <v>153</v>
      </c>
      <c r="F141" s="8" t="s">
        <v>16</v>
      </c>
      <c r="G141" s="8" t="s">
        <v>16</v>
      </c>
      <c r="H141" s="9"/>
      <c r="I141" s="9"/>
    </row>
    <row r="142" spans="1:9" x14ac:dyDescent="0.25">
      <c r="A142" s="8">
        <v>141</v>
      </c>
      <c r="B142" s="9">
        <v>1</v>
      </c>
      <c r="C142" s="9" t="s">
        <v>169</v>
      </c>
      <c r="D142" s="8" t="s">
        <v>226</v>
      </c>
      <c r="E142" s="9" t="s">
        <v>155</v>
      </c>
      <c r="F142" s="8" t="s">
        <v>16</v>
      </c>
      <c r="G142" s="8" t="s">
        <v>16</v>
      </c>
      <c r="H142" s="9" t="s">
        <v>17</v>
      </c>
      <c r="I142" s="9" t="s">
        <v>17</v>
      </c>
    </row>
    <row r="143" spans="1:9" x14ac:dyDescent="0.25">
      <c r="A143" s="8">
        <v>142</v>
      </c>
      <c r="B143" s="9">
        <v>2</v>
      </c>
      <c r="C143" s="9" t="s">
        <v>169</v>
      </c>
      <c r="D143" s="8" t="s">
        <v>233</v>
      </c>
      <c r="E143" s="9" t="s">
        <v>156</v>
      </c>
      <c r="F143" s="8" t="s">
        <v>16</v>
      </c>
      <c r="G143" s="8" t="s">
        <v>16</v>
      </c>
      <c r="H143" s="9"/>
      <c r="I143" s="8"/>
    </row>
    <row r="144" spans="1:9" x14ac:dyDescent="0.25">
      <c r="A144" s="8">
        <v>143</v>
      </c>
      <c r="B144" s="9">
        <v>3</v>
      </c>
      <c r="C144" s="9" t="s">
        <v>169</v>
      </c>
      <c r="D144" s="8" t="s">
        <v>228</v>
      </c>
      <c r="E144" s="9" t="s">
        <v>157</v>
      </c>
      <c r="F144" s="8" t="s">
        <v>16</v>
      </c>
      <c r="G144" s="8" t="s">
        <v>16</v>
      </c>
      <c r="H144" s="9"/>
      <c r="I144" s="8"/>
    </row>
    <row r="145" spans="1:9" x14ac:dyDescent="0.25">
      <c r="A145" s="8">
        <v>144</v>
      </c>
      <c r="B145" s="9">
        <v>4</v>
      </c>
      <c r="C145" s="9" t="s">
        <v>169</v>
      </c>
      <c r="D145" s="8" t="s">
        <v>232</v>
      </c>
      <c r="E145" s="9" t="s">
        <v>158</v>
      </c>
      <c r="F145" s="8" t="s">
        <v>16</v>
      </c>
      <c r="G145" s="8" t="s">
        <v>16</v>
      </c>
      <c r="H145" s="9" t="s">
        <v>17</v>
      </c>
      <c r="I145" s="9" t="s">
        <v>17</v>
      </c>
    </row>
    <row r="146" spans="1:9" x14ac:dyDescent="0.25">
      <c r="A146" s="8">
        <v>145</v>
      </c>
      <c r="B146" s="9">
        <v>5</v>
      </c>
      <c r="C146" s="9" t="s">
        <v>169</v>
      </c>
      <c r="D146" s="8" t="s">
        <v>221</v>
      </c>
      <c r="E146" s="9" t="s">
        <v>159</v>
      </c>
      <c r="F146" s="8" t="s">
        <v>16</v>
      </c>
      <c r="G146" s="8" t="s">
        <v>16</v>
      </c>
      <c r="H146" s="9" t="s">
        <v>17</v>
      </c>
      <c r="I146" s="9" t="s">
        <v>17</v>
      </c>
    </row>
    <row r="147" spans="1:9" x14ac:dyDescent="0.25">
      <c r="A147" s="8">
        <v>146</v>
      </c>
      <c r="B147" s="9">
        <v>6</v>
      </c>
      <c r="C147" s="9" t="s">
        <v>169</v>
      </c>
      <c r="D147" s="8" t="s">
        <v>220</v>
      </c>
      <c r="E147" s="9" t="s">
        <v>160</v>
      </c>
      <c r="F147" s="8" t="s">
        <v>16</v>
      </c>
      <c r="G147" s="8" t="s">
        <v>16</v>
      </c>
      <c r="H147" s="9"/>
      <c r="I147" s="9" t="s">
        <v>17</v>
      </c>
    </row>
    <row r="148" spans="1:9" x14ac:dyDescent="0.25">
      <c r="A148" s="8">
        <v>147</v>
      </c>
      <c r="B148" s="9">
        <v>7</v>
      </c>
      <c r="C148" s="9" t="s">
        <v>169</v>
      </c>
      <c r="D148" s="8" t="s">
        <v>224</v>
      </c>
      <c r="E148" s="9" t="s">
        <v>161</v>
      </c>
      <c r="F148" s="8" t="s">
        <v>16</v>
      </c>
      <c r="G148" s="8" t="s">
        <v>16</v>
      </c>
      <c r="H148" s="9" t="s">
        <v>17</v>
      </c>
      <c r="I148" s="9" t="s">
        <v>17</v>
      </c>
    </row>
    <row r="149" spans="1:9" x14ac:dyDescent="0.25">
      <c r="A149" s="8">
        <v>148</v>
      </c>
      <c r="B149" s="9">
        <v>8</v>
      </c>
      <c r="C149" s="9" t="s">
        <v>169</v>
      </c>
      <c r="D149" s="8" t="s">
        <v>223</v>
      </c>
      <c r="E149" s="9" t="s">
        <v>162</v>
      </c>
      <c r="F149" s="8" t="s">
        <v>16</v>
      </c>
      <c r="G149" s="8" t="s">
        <v>16</v>
      </c>
      <c r="H149" s="9"/>
      <c r="I149" s="9"/>
    </row>
    <row r="150" spans="1:9" x14ac:dyDescent="0.25">
      <c r="A150" s="8">
        <v>149</v>
      </c>
      <c r="B150" s="9">
        <v>9</v>
      </c>
      <c r="C150" s="9" t="s">
        <v>169</v>
      </c>
      <c r="D150" s="8" t="s">
        <v>231</v>
      </c>
      <c r="E150" s="9" t="s">
        <v>163</v>
      </c>
      <c r="F150" s="8" t="s">
        <v>16</v>
      </c>
      <c r="G150" s="8" t="s">
        <v>16</v>
      </c>
      <c r="H150" s="9" t="s">
        <v>17</v>
      </c>
      <c r="I150" s="9" t="s">
        <v>17</v>
      </c>
    </row>
    <row r="151" spans="1:9" x14ac:dyDescent="0.25">
      <c r="A151" s="8">
        <v>150</v>
      </c>
      <c r="B151" s="9">
        <v>10</v>
      </c>
      <c r="C151" s="9" t="s">
        <v>169</v>
      </c>
      <c r="D151" s="8" t="s">
        <v>227</v>
      </c>
      <c r="E151" s="9" t="s">
        <v>164</v>
      </c>
      <c r="F151" s="8" t="s">
        <v>16</v>
      </c>
      <c r="G151" s="8" t="s">
        <v>16</v>
      </c>
      <c r="H151" s="9" t="s">
        <v>17</v>
      </c>
      <c r="I151" s="9"/>
    </row>
    <row r="152" spans="1:9" x14ac:dyDescent="0.25">
      <c r="A152" s="8">
        <v>151</v>
      </c>
      <c r="B152" s="9">
        <v>11</v>
      </c>
      <c r="C152" s="9" t="s">
        <v>169</v>
      </c>
      <c r="D152" s="8" t="s">
        <v>230</v>
      </c>
      <c r="E152" s="9" t="s">
        <v>165</v>
      </c>
      <c r="F152" s="8" t="s">
        <v>16</v>
      </c>
      <c r="G152" s="8" t="s">
        <v>16</v>
      </c>
      <c r="H152" s="9" t="s">
        <v>17</v>
      </c>
      <c r="I152" s="9" t="s">
        <v>17</v>
      </c>
    </row>
    <row r="153" spans="1:9" x14ac:dyDescent="0.25">
      <c r="A153" s="8">
        <v>152</v>
      </c>
      <c r="B153" s="9">
        <v>12</v>
      </c>
      <c r="C153" s="9" t="s">
        <v>169</v>
      </c>
      <c r="D153" s="8" t="s">
        <v>225</v>
      </c>
      <c r="E153" s="9" t="s">
        <v>166</v>
      </c>
      <c r="F153" s="8" t="s">
        <v>16</v>
      </c>
      <c r="G153" s="8" t="s">
        <v>16</v>
      </c>
      <c r="H153" s="9" t="s">
        <v>17</v>
      </c>
      <c r="I153" s="9" t="s">
        <v>17</v>
      </c>
    </row>
    <row r="154" spans="1:9" x14ac:dyDescent="0.25">
      <c r="A154" s="8">
        <v>153</v>
      </c>
      <c r="B154" s="9">
        <v>13</v>
      </c>
      <c r="C154" s="9" t="s">
        <v>169</v>
      </c>
      <c r="D154" s="8" t="s">
        <v>229</v>
      </c>
      <c r="E154" s="9" t="s">
        <v>167</v>
      </c>
      <c r="F154" s="8" t="s">
        <v>16</v>
      </c>
      <c r="G154" s="8" t="s">
        <v>16</v>
      </c>
      <c r="H154" s="9"/>
      <c r="I154" s="8"/>
    </row>
    <row r="155" spans="1:9" x14ac:dyDescent="0.25">
      <c r="A155" s="8">
        <v>154</v>
      </c>
      <c r="B155" s="9">
        <v>14</v>
      </c>
      <c r="C155" s="9" t="s">
        <v>169</v>
      </c>
      <c r="D155" s="8" t="s">
        <v>222</v>
      </c>
      <c r="E155" s="9" t="s">
        <v>168</v>
      </c>
      <c r="F155" s="8" t="s">
        <v>16</v>
      </c>
      <c r="G155" s="8" t="s">
        <v>16</v>
      </c>
      <c r="H155" s="9" t="s">
        <v>17</v>
      </c>
      <c r="I155" s="9" t="s">
        <v>17</v>
      </c>
    </row>
    <row r="156" spans="1:9" x14ac:dyDescent="0.25">
      <c r="A156" s="8">
        <v>155</v>
      </c>
      <c r="B156" s="9">
        <v>1</v>
      </c>
      <c r="C156" s="9" t="s">
        <v>170</v>
      </c>
      <c r="D156" s="8" t="s">
        <v>226</v>
      </c>
      <c r="E156" s="9" t="s">
        <v>171</v>
      </c>
      <c r="F156" s="8" t="s">
        <v>16</v>
      </c>
      <c r="G156" s="8" t="s">
        <v>16</v>
      </c>
      <c r="H156" s="9" t="s">
        <v>17</v>
      </c>
      <c r="I156" s="9" t="s">
        <v>17</v>
      </c>
    </row>
    <row r="157" spans="1:9" x14ac:dyDescent="0.25">
      <c r="A157" s="8">
        <v>156</v>
      </c>
      <c r="B157" s="9">
        <v>2</v>
      </c>
      <c r="C157" s="9" t="s">
        <v>170</v>
      </c>
      <c r="D157" s="8" t="s">
        <v>233</v>
      </c>
      <c r="E157" s="9" t="s">
        <v>172</v>
      </c>
      <c r="F157" s="8" t="s">
        <v>16</v>
      </c>
      <c r="G157" s="8" t="s">
        <v>16</v>
      </c>
      <c r="H157" s="9"/>
      <c r="I157" s="8"/>
    </row>
    <row r="158" spans="1:9" x14ac:dyDescent="0.25">
      <c r="A158" s="8">
        <v>157</v>
      </c>
      <c r="B158" s="9">
        <v>3</v>
      </c>
      <c r="C158" s="9" t="s">
        <v>170</v>
      </c>
      <c r="D158" s="8" t="s">
        <v>228</v>
      </c>
      <c r="E158" s="9" t="s">
        <v>173</v>
      </c>
      <c r="F158" s="8" t="s">
        <v>16</v>
      </c>
      <c r="G158" s="8" t="s">
        <v>16</v>
      </c>
      <c r="H158" s="9"/>
      <c r="I158" s="8"/>
    </row>
    <row r="159" spans="1:9" x14ac:dyDescent="0.25">
      <c r="A159" s="8">
        <v>158</v>
      </c>
      <c r="B159" s="9">
        <v>4</v>
      </c>
      <c r="C159" s="9" t="s">
        <v>170</v>
      </c>
      <c r="D159" s="8" t="s">
        <v>232</v>
      </c>
      <c r="E159" s="9" t="s">
        <v>174</v>
      </c>
      <c r="F159" s="8" t="s">
        <v>16</v>
      </c>
      <c r="G159" s="8" t="s">
        <v>16</v>
      </c>
      <c r="H159" s="9" t="s">
        <v>17</v>
      </c>
      <c r="I159" s="9" t="s">
        <v>17</v>
      </c>
    </row>
    <row r="160" spans="1:9" x14ac:dyDescent="0.25">
      <c r="A160" s="8">
        <v>159</v>
      </c>
      <c r="B160" s="9">
        <v>5</v>
      </c>
      <c r="C160" s="9" t="s">
        <v>170</v>
      </c>
      <c r="D160" s="8" t="s">
        <v>221</v>
      </c>
      <c r="E160" s="9" t="s">
        <v>175</v>
      </c>
      <c r="F160" s="8" t="s">
        <v>16</v>
      </c>
      <c r="G160" s="8" t="s">
        <v>16</v>
      </c>
      <c r="H160" s="9" t="s">
        <v>17</v>
      </c>
      <c r="I160" s="9" t="s">
        <v>17</v>
      </c>
    </row>
    <row r="161" spans="1:9" x14ac:dyDescent="0.25">
      <c r="A161" s="8">
        <v>160</v>
      </c>
      <c r="B161" s="9">
        <v>6</v>
      </c>
      <c r="C161" s="9" t="s">
        <v>170</v>
      </c>
      <c r="D161" s="8" t="s">
        <v>220</v>
      </c>
      <c r="E161" s="9" t="s">
        <v>176</v>
      </c>
      <c r="F161" s="8" t="s">
        <v>16</v>
      </c>
      <c r="G161" s="8" t="s">
        <v>16</v>
      </c>
      <c r="H161" s="9"/>
      <c r="I161" s="9"/>
    </row>
    <row r="162" spans="1:9" x14ac:dyDescent="0.25">
      <c r="A162" s="8">
        <v>161</v>
      </c>
      <c r="B162" s="9">
        <v>7</v>
      </c>
      <c r="C162" s="9" t="s">
        <v>170</v>
      </c>
      <c r="D162" s="8" t="s">
        <v>224</v>
      </c>
      <c r="E162" s="9" t="s">
        <v>177</v>
      </c>
      <c r="F162" s="8" t="s">
        <v>16</v>
      </c>
      <c r="G162" s="8" t="s">
        <v>16</v>
      </c>
      <c r="H162" s="9"/>
      <c r="I162" s="9" t="s">
        <v>17</v>
      </c>
    </row>
    <row r="163" spans="1:9" x14ac:dyDescent="0.25">
      <c r="A163" s="8">
        <v>162</v>
      </c>
      <c r="B163" s="9">
        <v>8</v>
      </c>
      <c r="C163" s="9" t="s">
        <v>170</v>
      </c>
      <c r="D163" s="8" t="s">
        <v>223</v>
      </c>
      <c r="E163" s="9" t="s">
        <v>178</v>
      </c>
      <c r="F163" s="8" t="s">
        <v>16</v>
      </c>
      <c r="G163" s="8" t="s">
        <v>16</v>
      </c>
      <c r="H163" s="9"/>
      <c r="I163" s="9"/>
    </row>
    <row r="164" spans="1:9" x14ac:dyDescent="0.25">
      <c r="A164" s="8">
        <v>163</v>
      </c>
      <c r="B164" s="9">
        <v>9</v>
      </c>
      <c r="C164" s="9" t="s">
        <v>170</v>
      </c>
      <c r="D164" s="8" t="s">
        <v>231</v>
      </c>
      <c r="E164" s="9" t="s">
        <v>179</v>
      </c>
      <c r="F164" s="8" t="s">
        <v>16</v>
      </c>
      <c r="G164" s="8" t="s">
        <v>16</v>
      </c>
      <c r="H164" s="9" t="s">
        <v>17</v>
      </c>
      <c r="I164" s="9" t="s">
        <v>17</v>
      </c>
    </row>
    <row r="165" spans="1:9" x14ac:dyDescent="0.25">
      <c r="A165" s="8">
        <v>164</v>
      </c>
      <c r="B165" s="9">
        <v>10</v>
      </c>
      <c r="C165" s="9" t="s">
        <v>170</v>
      </c>
      <c r="D165" s="8" t="s">
        <v>227</v>
      </c>
      <c r="E165" s="9" t="s">
        <v>180</v>
      </c>
      <c r="F165" s="8" t="s">
        <v>16</v>
      </c>
      <c r="G165" s="8" t="s">
        <v>16</v>
      </c>
      <c r="H165" s="9" t="s">
        <v>17</v>
      </c>
      <c r="I165" s="9"/>
    </row>
    <row r="166" spans="1:9" x14ac:dyDescent="0.25">
      <c r="A166" s="8">
        <v>165</v>
      </c>
      <c r="B166" s="9">
        <v>11</v>
      </c>
      <c r="C166" s="9" t="s">
        <v>170</v>
      </c>
      <c r="D166" s="8" t="s">
        <v>230</v>
      </c>
      <c r="E166" s="9" t="s">
        <v>181</v>
      </c>
      <c r="F166" s="8" t="s">
        <v>16</v>
      </c>
      <c r="G166" s="8" t="s">
        <v>16</v>
      </c>
      <c r="H166" s="9" t="s">
        <v>17</v>
      </c>
      <c r="I166" s="9" t="s">
        <v>17</v>
      </c>
    </row>
    <row r="167" spans="1:9" x14ac:dyDescent="0.25">
      <c r="A167" s="8">
        <v>166</v>
      </c>
      <c r="B167" s="9">
        <v>12</v>
      </c>
      <c r="C167" s="9" t="s">
        <v>170</v>
      </c>
      <c r="D167" s="8" t="s">
        <v>225</v>
      </c>
      <c r="E167" s="9" t="s">
        <v>182</v>
      </c>
      <c r="F167" s="8" t="s">
        <v>16</v>
      </c>
      <c r="G167" s="8" t="s">
        <v>16</v>
      </c>
      <c r="H167" s="9"/>
      <c r="I167" s="9" t="s">
        <v>17</v>
      </c>
    </row>
    <row r="168" spans="1:9" x14ac:dyDescent="0.25">
      <c r="A168" s="8">
        <v>167</v>
      </c>
      <c r="B168" s="9">
        <v>13</v>
      </c>
      <c r="C168" s="9" t="s">
        <v>170</v>
      </c>
      <c r="D168" s="8" t="s">
        <v>229</v>
      </c>
      <c r="E168" s="9" t="s">
        <v>183</v>
      </c>
      <c r="F168" s="8" t="s">
        <v>16</v>
      </c>
      <c r="G168" s="8" t="s">
        <v>16</v>
      </c>
      <c r="H168" s="9"/>
      <c r="I168" s="9"/>
    </row>
    <row r="169" spans="1:9" x14ac:dyDescent="0.25">
      <c r="A169" s="8">
        <v>168</v>
      </c>
      <c r="B169" s="9">
        <v>14</v>
      </c>
      <c r="C169" s="9" t="s">
        <v>170</v>
      </c>
      <c r="D169" s="8" t="s">
        <v>222</v>
      </c>
      <c r="E169" s="9" t="s">
        <v>184</v>
      </c>
      <c r="F169" s="8" t="s">
        <v>16</v>
      </c>
      <c r="G169" s="8" t="s">
        <v>16</v>
      </c>
      <c r="H169" s="9" t="s">
        <v>17</v>
      </c>
      <c r="I169" s="9" t="s">
        <v>17</v>
      </c>
    </row>
    <row r="170" spans="1:9" x14ac:dyDescent="0.25">
      <c r="A170" s="8">
        <v>169</v>
      </c>
      <c r="B170" s="9">
        <v>1</v>
      </c>
      <c r="C170" s="9" t="s">
        <v>213</v>
      </c>
      <c r="D170" s="8" t="s">
        <v>226</v>
      </c>
      <c r="E170" s="9" t="s">
        <v>185</v>
      </c>
      <c r="F170" s="8" t="s">
        <v>16</v>
      </c>
      <c r="G170" s="8" t="s">
        <v>16</v>
      </c>
      <c r="H170" s="9"/>
      <c r="I170" s="8"/>
    </row>
    <row r="171" spans="1:9" x14ac:dyDescent="0.25">
      <c r="A171" s="8">
        <v>170</v>
      </c>
      <c r="B171" s="9">
        <v>2</v>
      </c>
      <c r="C171" s="9" t="s">
        <v>213</v>
      </c>
      <c r="D171" s="8" t="s">
        <v>233</v>
      </c>
      <c r="E171" s="9" t="s">
        <v>186</v>
      </c>
      <c r="F171" s="8" t="s">
        <v>16</v>
      </c>
      <c r="G171" s="8" t="s">
        <v>16</v>
      </c>
      <c r="H171" s="9"/>
      <c r="I171" s="8"/>
    </row>
    <row r="172" spans="1:9" x14ac:dyDescent="0.25">
      <c r="A172" s="8">
        <v>171</v>
      </c>
      <c r="B172" s="9">
        <v>3</v>
      </c>
      <c r="C172" s="9" t="s">
        <v>213</v>
      </c>
      <c r="D172" s="8" t="s">
        <v>228</v>
      </c>
      <c r="E172" s="9" t="s">
        <v>187</v>
      </c>
      <c r="F172" s="8" t="s">
        <v>16</v>
      </c>
      <c r="G172" s="8" t="s">
        <v>16</v>
      </c>
      <c r="H172" s="9"/>
      <c r="I172" s="8"/>
    </row>
    <row r="173" spans="1:9" x14ac:dyDescent="0.25">
      <c r="A173" s="8">
        <v>172</v>
      </c>
      <c r="B173" s="9">
        <v>4</v>
      </c>
      <c r="C173" s="9" t="s">
        <v>213</v>
      </c>
      <c r="D173" s="8" t="s">
        <v>232</v>
      </c>
      <c r="E173" s="9" t="s">
        <v>188</v>
      </c>
      <c r="F173" s="8" t="s">
        <v>16</v>
      </c>
      <c r="G173" s="8" t="s">
        <v>16</v>
      </c>
      <c r="H173" s="9"/>
      <c r="I173" s="8"/>
    </row>
    <row r="174" spans="1:9" x14ac:dyDescent="0.25">
      <c r="A174" s="8">
        <v>173</v>
      </c>
      <c r="B174" s="9">
        <v>5</v>
      </c>
      <c r="C174" s="9" t="s">
        <v>213</v>
      </c>
      <c r="D174" s="8" t="s">
        <v>221</v>
      </c>
      <c r="E174" s="9" t="s">
        <v>189</v>
      </c>
      <c r="F174" s="8" t="s">
        <v>16</v>
      </c>
      <c r="G174" s="8" t="s">
        <v>16</v>
      </c>
      <c r="H174" s="9"/>
      <c r="I174" s="8"/>
    </row>
    <row r="175" spans="1:9" x14ac:dyDescent="0.25">
      <c r="A175" s="8">
        <v>174</v>
      </c>
      <c r="B175" s="9">
        <v>6</v>
      </c>
      <c r="C175" s="9" t="s">
        <v>213</v>
      </c>
      <c r="D175" s="8" t="s">
        <v>220</v>
      </c>
      <c r="E175" s="9" t="s">
        <v>190</v>
      </c>
      <c r="F175" s="8" t="s">
        <v>16</v>
      </c>
      <c r="G175" s="8" t="s">
        <v>16</v>
      </c>
      <c r="H175" s="9"/>
      <c r="I175" s="8"/>
    </row>
    <row r="176" spans="1:9" x14ac:dyDescent="0.25">
      <c r="A176" s="8">
        <v>175</v>
      </c>
      <c r="B176" s="9">
        <v>7</v>
      </c>
      <c r="C176" s="9" t="s">
        <v>213</v>
      </c>
      <c r="D176" s="8" t="s">
        <v>224</v>
      </c>
      <c r="E176" s="9" t="s">
        <v>191</v>
      </c>
      <c r="F176" s="8" t="s">
        <v>16</v>
      </c>
      <c r="G176" s="8" t="s">
        <v>16</v>
      </c>
      <c r="H176" s="9"/>
      <c r="I176" s="8"/>
    </row>
    <row r="177" spans="1:9" x14ac:dyDescent="0.25">
      <c r="A177" s="8">
        <v>176</v>
      </c>
      <c r="B177" s="9">
        <v>8</v>
      </c>
      <c r="C177" s="9" t="s">
        <v>213</v>
      </c>
      <c r="D177" s="8" t="s">
        <v>223</v>
      </c>
      <c r="E177" s="9" t="s">
        <v>192</v>
      </c>
      <c r="F177" s="8" t="s">
        <v>16</v>
      </c>
      <c r="G177" s="8" t="s">
        <v>16</v>
      </c>
      <c r="H177" s="9"/>
      <c r="I177" s="8"/>
    </row>
    <row r="178" spans="1:9" x14ac:dyDescent="0.25">
      <c r="A178" s="8">
        <v>177</v>
      </c>
      <c r="B178" s="9">
        <v>9</v>
      </c>
      <c r="C178" s="9" t="s">
        <v>213</v>
      </c>
      <c r="D178" s="8" t="s">
        <v>231</v>
      </c>
      <c r="E178" s="9" t="s">
        <v>193</v>
      </c>
      <c r="F178" s="8" t="s">
        <v>16</v>
      </c>
      <c r="G178" s="8" t="s">
        <v>16</v>
      </c>
      <c r="H178" s="9"/>
      <c r="I178" s="8"/>
    </row>
    <row r="179" spans="1:9" x14ac:dyDescent="0.25">
      <c r="A179" s="8">
        <v>178</v>
      </c>
      <c r="B179" s="9">
        <v>10</v>
      </c>
      <c r="C179" s="9" t="s">
        <v>213</v>
      </c>
      <c r="D179" s="8" t="s">
        <v>227</v>
      </c>
      <c r="E179" s="9" t="s">
        <v>194</v>
      </c>
      <c r="F179" s="8" t="s">
        <v>16</v>
      </c>
      <c r="G179" s="8" t="s">
        <v>16</v>
      </c>
      <c r="H179" s="9" t="s">
        <v>17</v>
      </c>
      <c r="I179" s="8"/>
    </row>
    <row r="180" spans="1:9" x14ac:dyDescent="0.25">
      <c r="A180" s="8">
        <v>179</v>
      </c>
      <c r="B180" s="9">
        <v>11</v>
      </c>
      <c r="C180" s="9" t="s">
        <v>213</v>
      </c>
      <c r="D180" s="8" t="s">
        <v>230</v>
      </c>
      <c r="E180" s="9" t="s">
        <v>195</v>
      </c>
      <c r="F180" s="8" t="s">
        <v>16</v>
      </c>
      <c r="G180" s="8" t="s">
        <v>16</v>
      </c>
      <c r="H180" s="9"/>
      <c r="I180" s="8"/>
    </row>
    <row r="181" spans="1:9" x14ac:dyDescent="0.25">
      <c r="A181" s="8">
        <v>180</v>
      </c>
      <c r="B181" s="9">
        <v>12</v>
      </c>
      <c r="C181" s="9" t="s">
        <v>213</v>
      </c>
      <c r="D181" s="8" t="s">
        <v>225</v>
      </c>
      <c r="E181" s="9" t="s">
        <v>196</v>
      </c>
      <c r="F181" s="8" t="s">
        <v>16</v>
      </c>
      <c r="G181" s="8" t="s">
        <v>16</v>
      </c>
      <c r="H181" s="9"/>
      <c r="I181" s="8"/>
    </row>
    <row r="182" spans="1:9" x14ac:dyDescent="0.25">
      <c r="A182" s="8">
        <v>181</v>
      </c>
      <c r="B182" s="9">
        <v>13</v>
      </c>
      <c r="C182" s="9" t="s">
        <v>213</v>
      </c>
      <c r="D182" s="8" t="s">
        <v>229</v>
      </c>
      <c r="E182" s="9" t="s">
        <v>197</v>
      </c>
      <c r="F182" s="8" t="s">
        <v>16</v>
      </c>
      <c r="G182" s="8" t="s">
        <v>16</v>
      </c>
      <c r="H182" s="9"/>
      <c r="I182" s="8"/>
    </row>
    <row r="183" spans="1:9" x14ac:dyDescent="0.25">
      <c r="A183" s="8">
        <v>182</v>
      </c>
      <c r="B183" s="9">
        <v>14</v>
      </c>
      <c r="C183" s="9" t="s">
        <v>213</v>
      </c>
      <c r="D183" s="8" t="s">
        <v>222</v>
      </c>
      <c r="E183" s="9" t="s">
        <v>198</v>
      </c>
      <c r="F183" s="8" t="s">
        <v>16</v>
      </c>
      <c r="G183" s="8" t="s">
        <v>16</v>
      </c>
      <c r="H183" s="9" t="s">
        <v>17</v>
      </c>
      <c r="I183" s="8"/>
    </row>
    <row r="184" spans="1:9" x14ac:dyDescent="0.25">
      <c r="A184" s="8">
        <v>183</v>
      </c>
      <c r="B184" s="9">
        <v>1</v>
      </c>
      <c r="C184" s="9" t="s">
        <v>214</v>
      </c>
      <c r="D184" s="8" t="s">
        <v>226</v>
      </c>
      <c r="E184" s="9" t="s">
        <v>199</v>
      </c>
      <c r="F184" s="8" t="s">
        <v>16</v>
      </c>
      <c r="G184" s="8" t="s">
        <v>16</v>
      </c>
      <c r="H184" s="9" t="s">
        <v>17</v>
      </c>
      <c r="I184" s="9" t="s">
        <v>17</v>
      </c>
    </row>
    <row r="185" spans="1:9" x14ac:dyDescent="0.25">
      <c r="A185" s="8">
        <v>184</v>
      </c>
      <c r="B185" s="9">
        <v>2</v>
      </c>
      <c r="C185" s="9" t="s">
        <v>214</v>
      </c>
      <c r="D185" s="8" t="s">
        <v>233</v>
      </c>
      <c r="E185" s="9" t="s">
        <v>200</v>
      </c>
      <c r="F185" s="8" t="s">
        <v>16</v>
      </c>
      <c r="G185" s="8" t="s">
        <v>16</v>
      </c>
      <c r="H185" s="9"/>
      <c r="I185" s="8"/>
    </row>
    <row r="186" spans="1:9" x14ac:dyDescent="0.25">
      <c r="A186" s="8">
        <v>185</v>
      </c>
      <c r="B186" s="9">
        <v>3</v>
      </c>
      <c r="C186" s="9" t="s">
        <v>214</v>
      </c>
      <c r="D186" s="8" t="s">
        <v>228</v>
      </c>
      <c r="E186" s="9" t="s">
        <v>201</v>
      </c>
      <c r="F186" s="8" t="s">
        <v>16</v>
      </c>
      <c r="G186" s="8" t="s">
        <v>16</v>
      </c>
      <c r="H186" s="9"/>
      <c r="I186" s="8"/>
    </row>
    <row r="187" spans="1:9" x14ac:dyDescent="0.25">
      <c r="A187" s="8">
        <v>186</v>
      </c>
      <c r="B187" s="9">
        <v>4</v>
      </c>
      <c r="C187" s="9" t="s">
        <v>214</v>
      </c>
      <c r="D187" s="8" t="s">
        <v>232</v>
      </c>
      <c r="E187" s="9" t="s">
        <v>202</v>
      </c>
      <c r="F187" s="8" t="s">
        <v>16</v>
      </c>
      <c r="G187" s="8" t="s">
        <v>16</v>
      </c>
      <c r="H187" s="9" t="s">
        <v>17</v>
      </c>
      <c r="I187" s="9" t="s">
        <v>17</v>
      </c>
    </row>
    <row r="188" spans="1:9" x14ac:dyDescent="0.25">
      <c r="A188" s="8">
        <v>187</v>
      </c>
      <c r="B188" s="9">
        <v>5</v>
      </c>
      <c r="C188" s="9" t="s">
        <v>214</v>
      </c>
      <c r="D188" s="8" t="s">
        <v>221</v>
      </c>
      <c r="E188" s="9" t="s">
        <v>203</v>
      </c>
      <c r="F188" s="8" t="s">
        <v>16</v>
      </c>
      <c r="G188" s="8" t="s">
        <v>16</v>
      </c>
      <c r="H188" s="9" t="s">
        <v>17</v>
      </c>
      <c r="I188" s="9" t="s">
        <v>17</v>
      </c>
    </row>
    <row r="189" spans="1:9" x14ac:dyDescent="0.25">
      <c r="A189" s="8">
        <v>188</v>
      </c>
      <c r="B189" s="9">
        <v>6</v>
      </c>
      <c r="C189" s="9" t="s">
        <v>214</v>
      </c>
      <c r="D189" s="8" t="s">
        <v>220</v>
      </c>
      <c r="E189" s="9" t="s">
        <v>204</v>
      </c>
      <c r="F189" s="8" t="s">
        <v>16</v>
      </c>
      <c r="G189" s="8" t="s">
        <v>16</v>
      </c>
      <c r="H189" s="9" t="s">
        <v>17</v>
      </c>
      <c r="I189" s="9" t="s">
        <v>17</v>
      </c>
    </row>
    <row r="190" spans="1:9" x14ac:dyDescent="0.25">
      <c r="A190" s="8">
        <v>189</v>
      </c>
      <c r="B190" s="9">
        <v>7</v>
      </c>
      <c r="C190" s="9" t="s">
        <v>214</v>
      </c>
      <c r="D190" s="8" t="s">
        <v>224</v>
      </c>
      <c r="E190" s="9" t="s">
        <v>205</v>
      </c>
      <c r="F190" s="8" t="s">
        <v>16</v>
      </c>
      <c r="G190" s="8" t="s">
        <v>16</v>
      </c>
      <c r="H190" s="9"/>
      <c r="I190" s="8"/>
    </row>
    <row r="191" spans="1:9" x14ac:dyDescent="0.25">
      <c r="A191" s="8">
        <v>190</v>
      </c>
      <c r="B191" s="9">
        <v>8</v>
      </c>
      <c r="C191" s="9" t="s">
        <v>214</v>
      </c>
      <c r="D191" s="8" t="s">
        <v>223</v>
      </c>
      <c r="E191" s="9" t="s">
        <v>206</v>
      </c>
      <c r="F191" s="8" t="s">
        <v>16</v>
      </c>
      <c r="G191" s="8" t="s">
        <v>16</v>
      </c>
      <c r="H191" s="9"/>
      <c r="I191" s="8"/>
    </row>
    <row r="192" spans="1:9" x14ac:dyDescent="0.25">
      <c r="A192" s="8">
        <v>191</v>
      </c>
      <c r="B192" s="9">
        <v>9</v>
      </c>
      <c r="C192" s="9" t="s">
        <v>214</v>
      </c>
      <c r="D192" s="8" t="s">
        <v>231</v>
      </c>
      <c r="E192" s="9" t="s">
        <v>207</v>
      </c>
      <c r="F192" s="8" t="s">
        <v>16</v>
      </c>
      <c r="G192" s="8" t="s">
        <v>16</v>
      </c>
      <c r="H192" s="9" t="s">
        <v>17</v>
      </c>
      <c r="I192" s="9" t="s">
        <v>17</v>
      </c>
    </row>
    <row r="193" spans="1:9" x14ac:dyDescent="0.25">
      <c r="A193" s="8">
        <v>192</v>
      </c>
      <c r="B193" s="9">
        <v>10</v>
      </c>
      <c r="C193" s="9" t="s">
        <v>214</v>
      </c>
      <c r="D193" s="8" t="s">
        <v>227</v>
      </c>
      <c r="E193" s="9" t="s">
        <v>208</v>
      </c>
      <c r="F193" s="8" t="s">
        <v>16</v>
      </c>
      <c r="G193" s="8" t="s">
        <v>16</v>
      </c>
      <c r="H193" s="9" t="s">
        <v>17</v>
      </c>
      <c r="I193" s="8"/>
    </row>
    <row r="194" spans="1:9" x14ac:dyDescent="0.25">
      <c r="A194" s="8">
        <v>193</v>
      </c>
      <c r="B194" s="9">
        <v>11</v>
      </c>
      <c r="C194" s="9" t="s">
        <v>214</v>
      </c>
      <c r="D194" s="8" t="s">
        <v>230</v>
      </c>
      <c r="E194" s="9" t="s">
        <v>209</v>
      </c>
      <c r="F194" s="8" t="s">
        <v>16</v>
      </c>
      <c r="G194" s="8" t="s">
        <v>16</v>
      </c>
      <c r="H194" s="9" t="s">
        <v>17</v>
      </c>
      <c r="I194" s="9" t="s">
        <v>17</v>
      </c>
    </row>
    <row r="195" spans="1:9" x14ac:dyDescent="0.25">
      <c r="A195" s="8">
        <v>194</v>
      </c>
      <c r="B195" s="9">
        <v>12</v>
      </c>
      <c r="C195" s="9" t="s">
        <v>214</v>
      </c>
      <c r="D195" s="8" t="s">
        <v>225</v>
      </c>
      <c r="E195" s="9" t="s">
        <v>210</v>
      </c>
      <c r="F195" s="8" t="s">
        <v>16</v>
      </c>
      <c r="G195" s="8" t="s">
        <v>16</v>
      </c>
      <c r="H195" s="9"/>
      <c r="I195" s="8"/>
    </row>
    <row r="196" spans="1:9" x14ac:dyDescent="0.25">
      <c r="A196" s="8">
        <v>195</v>
      </c>
      <c r="B196" s="9">
        <v>13</v>
      </c>
      <c r="C196" s="9" t="s">
        <v>214</v>
      </c>
      <c r="D196" s="8" t="s">
        <v>229</v>
      </c>
      <c r="E196" s="9" t="s">
        <v>211</v>
      </c>
      <c r="F196" s="8" t="s">
        <v>16</v>
      </c>
      <c r="G196" s="8" t="s">
        <v>16</v>
      </c>
      <c r="H196" s="9"/>
      <c r="I196" s="8"/>
    </row>
    <row r="197" spans="1:9" x14ac:dyDescent="0.25">
      <c r="A197" s="8">
        <v>196</v>
      </c>
      <c r="B197" s="9">
        <v>14</v>
      </c>
      <c r="C197" s="9" t="s">
        <v>214</v>
      </c>
      <c r="D197" s="8" t="s">
        <v>222</v>
      </c>
      <c r="E197" s="9" t="s">
        <v>212</v>
      </c>
      <c r="F197" s="8" t="s">
        <v>16</v>
      </c>
      <c r="G197" s="8" t="s">
        <v>16</v>
      </c>
      <c r="H197" s="9" t="s">
        <v>17</v>
      </c>
      <c r="I197" s="9" t="s">
        <v>17</v>
      </c>
    </row>
    <row r="198" spans="1:9" x14ac:dyDescent="0.25">
      <c r="A198" s="8">
        <v>197</v>
      </c>
      <c r="B198" s="16"/>
      <c r="C198" s="16" t="s">
        <v>449</v>
      </c>
      <c r="D198" s="8" t="s">
        <v>226</v>
      </c>
      <c r="E198" s="16" t="s">
        <v>450</v>
      </c>
      <c r="F198" s="8" t="s">
        <v>16</v>
      </c>
      <c r="G198" s="8" t="s">
        <v>16</v>
      </c>
      <c r="H198" s="16"/>
      <c r="I198" s="8"/>
    </row>
    <row r="199" spans="1:9" x14ac:dyDescent="0.25">
      <c r="A199" s="8">
        <v>198</v>
      </c>
      <c r="B199" s="9"/>
      <c r="C199" s="16" t="s">
        <v>449</v>
      </c>
      <c r="D199" s="8" t="s">
        <v>233</v>
      </c>
      <c r="E199" s="9" t="s">
        <v>451</v>
      </c>
      <c r="F199" s="8" t="s">
        <v>16</v>
      </c>
      <c r="G199" s="8" t="s">
        <v>16</v>
      </c>
      <c r="H199" s="9"/>
      <c r="I199" s="8"/>
    </row>
    <row r="200" spans="1:9" x14ac:dyDescent="0.25">
      <c r="A200" s="8">
        <v>199</v>
      </c>
      <c r="B200" s="9"/>
      <c r="C200" s="16" t="s">
        <v>449</v>
      </c>
      <c r="D200" s="8" t="s">
        <v>228</v>
      </c>
      <c r="E200" s="9" t="s">
        <v>452</v>
      </c>
      <c r="F200" s="8" t="s">
        <v>16</v>
      </c>
      <c r="G200" s="8" t="s">
        <v>16</v>
      </c>
      <c r="H200" s="9"/>
      <c r="I200" s="8"/>
    </row>
    <row r="201" spans="1:9" x14ac:dyDescent="0.25">
      <c r="A201" s="8">
        <v>200</v>
      </c>
      <c r="B201" s="9"/>
      <c r="C201" s="16" t="s">
        <v>449</v>
      </c>
      <c r="D201" s="8" t="s">
        <v>232</v>
      </c>
      <c r="E201" s="9" t="s">
        <v>453</v>
      </c>
      <c r="F201" s="8" t="s">
        <v>16</v>
      </c>
      <c r="G201" s="8" t="s">
        <v>16</v>
      </c>
      <c r="H201" s="9"/>
      <c r="I201" s="8"/>
    </row>
    <row r="202" spans="1:9" x14ac:dyDescent="0.25">
      <c r="A202" s="8">
        <v>201</v>
      </c>
      <c r="B202" s="9"/>
      <c r="C202" s="16" t="s">
        <v>449</v>
      </c>
      <c r="D202" s="8" t="s">
        <v>221</v>
      </c>
      <c r="E202" s="9" t="s">
        <v>454</v>
      </c>
      <c r="F202" s="8" t="s">
        <v>16</v>
      </c>
      <c r="G202" s="8" t="s">
        <v>16</v>
      </c>
      <c r="H202" s="9"/>
      <c r="I202" s="8"/>
    </row>
    <row r="203" spans="1:9" x14ac:dyDescent="0.25">
      <c r="A203" s="8">
        <v>202</v>
      </c>
      <c r="B203" s="9"/>
      <c r="C203" s="16" t="s">
        <v>449</v>
      </c>
      <c r="D203" s="8" t="s">
        <v>220</v>
      </c>
      <c r="E203" s="9" t="s">
        <v>455</v>
      </c>
      <c r="F203" s="8" t="s">
        <v>16</v>
      </c>
      <c r="G203" s="8" t="s">
        <v>16</v>
      </c>
      <c r="H203" s="9"/>
      <c r="I203" s="8"/>
    </row>
    <row r="204" spans="1:9" x14ac:dyDescent="0.25">
      <c r="A204" s="8">
        <v>203</v>
      </c>
      <c r="B204" s="9"/>
      <c r="C204" s="16" t="s">
        <v>449</v>
      </c>
      <c r="D204" s="8" t="s">
        <v>224</v>
      </c>
      <c r="E204" s="9" t="s">
        <v>456</v>
      </c>
      <c r="F204" s="8" t="s">
        <v>16</v>
      </c>
      <c r="G204" s="8" t="s">
        <v>16</v>
      </c>
      <c r="H204" s="9"/>
      <c r="I204" s="8"/>
    </row>
    <row r="205" spans="1:9" x14ac:dyDescent="0.25">
      <c r="A205" s="8">
        <v>204</v>
      </c>
      <c r="B205" s="9"/>
      <c r="C205" s="16" t="s">
        <v>449</v>
      </c>
      <c r="D205" s="8" t="s">
        <v>223</v>
      </c>
      <c r="E205" s="9" t="s">
        <v>457</v>
      </c>
      <c r="F205" s="8" t="s">
        <v>16</v>
      </c>
      <c r="G205" s="8" t="s">
        <v>16</v>
      </c>
      <c r="H205" s="9"/>
      <c r="I205" s="8"/>
    </row>
    <row r="206" spans="1:9" x14ac:dyDescent="0.25">
      <c r="A206" s="8">
        <v>205</v>
      </c>
      <c r="B206" s="9"/>
      <c r="C206" s="16" t="s">
        <v>449</v>
      </c>
      <c r="D206" s="8" t="s">
        <v>231</v>
      </c>
      <c r="E206" s="9" t="s">
        <v>458</v>
      </c>
      <c r="F206" s="8" t="s">
        <v>16</v>
      </c>
      <c r="G206" s="8" t="s">
        <v>16</v>
      </c>
      <c r="H206" s="9"/>
      <c r="I206" s="8"/>
    </row>
    <row r="207" spans="1:9" x14ac:dyDescent="0.25">
      <c r="A207" s="8">
        <v>206</v>
      </c>
      <c r="B207" s="9"/>
      <c r="C207" s="16" t="s">
        <v>449</v>
      </c>
      <c r="D207" s="8" t="s">
        <v>227</v>
      </c>
      <c r="E207" s="9" t="s">
        <v>459</v>
      </c>
      <c r="F207" s="8" t="s">
        <v>16</v>
      </c>
      <c r="G207" s="8" t="s">
        <v>16</v>
      </c>
      <c r="H207" s="9" t="s">
        <v>17</v>
      </c>
      <c r="I207" s="8"/>
    </row>
    <row r="208" spans="1:9" x14ac:dyDescent="0.25">
      <c r="A208" s="8">
        <v>207</v>
      </c>
      <c r="B208" s="9"/>
      <c r="C208" s="16" t="s">
        <v>449</v>
      </c>
      <c r="D208" s="8" t="s">
        <v>230</v>
      </c>
      <c r="E208" s="9" t="s">
        <v>460</v>
      </c>
      <c r="F208" s="8" t="s">
        <v>16</v>
      </c>
      <c r="G208" s="8" t="s">
        <v>16</v>
      </c>
      <c r="H208" s="9"/>
      <c r="I208" s="8"/>
    </row>
    <row r="209" spans="1:9" x14ac:dyDescent="0.25">
      <c r="A209" s="8">
        <v>208</v>
      </c>
      <c r="B209" s="9"/>
      <c r="C209" s="16" t="s">
        <v>449</v>
      </c>
      <c r="D209" s="8" t="s">
        <v>225</v>
      </c>
      <c r="E209" s="9" t="s">
        <v>461</v>
      </c>
      <c r="F209" s="8" t="s">
        <v>16</v>
      </c>
      <c r="G209" s="8" t="s">
        <v>16</v>
      </c>
      <c r="H209" s="9"/>
      <c r="I209" s="8"/>
    </row>
    <row r="210" spans="1:9" x14ac:dyDescent="0.25">
      <c r="A210" s="8">
        <v>209</v>
      </c>
      <c r="B210" s="9"/>
      <c r="C210" s="16" t="s">
        <v>449</v>
      </c>
      <c r="D210" s="8" t="s">
        <v>229</v>
      </c>
      <c r="E210" s="9" t="s">
        <v>462</v>
      </c>
      <c r="F210" s="8" t="s">
        <v>16</v>
      </c>
      <c r="G210" s="8" t="s">
        <v>16</v>
      </c>
      <c r="H210" s="9"/>
      <c r="I210" s="8"/>
    </row>
    <row r="211" spans="1:9" x14ac:dyDescent="0.25">
      <c r="A211" s="8">
        <v>210</v>
      </c>
      <c r="B211" s="9"/>
      <c r="C211" s="9" t="s">
        <v>449</v>
      </c>
      <c r="D211" s="8" t="s">
        <v>222</v>
      </c>
      <c r="E211" s="9" t="s">
        <v>463</v>
      </c>
      <c r="F211" s="8" t="s">
        <v>16</v>
      </c>
      <c r="G211" s="8" t="s">
        <v>16</v>
      </c>
      <c r="H211" s="9"/>
      <c r="I211" s="2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6197-8F9D-49B2-BDE2-C5C2B342FBA4}">
  <dimension ref="A1:C13"/>
  <sheetViews>
    <sheetView workbookViewId="0">
      <selection activeCell="C2" sqref="C2:C9"/>
    </sheetView>
  </sheetViews>
  <sheetFormatPr defaultRowHeight="15" x14ac:dyDescent="0.25"/>
  <cols>
    <col min="1" max="1" width="34.85546875" customWidth="1"/>
    <col min="2" max="2" width="1.140625" customWidth="1"/>
    <col min="3" max="3" width="22.85546875" customWidth="1"/>
  </cols>
  <sheetData>
    <row r="1" spans="1:3" ht="60" x14ac:dyDescent="0.25">
      <c r="A1" s="15" t="s">
        <v>433</v>
      </c>
      <c r="C1" s="15" t="s">
        <v>441</v>
      </c>
    </row>
    <row r="2" spans="1:3" x14ac:dyDescent="0.25">
      <c r="A2" t="s">
        <v>434</v>
      </c>
      <c r="C2" t="s">
        <v>442</v>
      </c>
    </row>
    <row r="3" spans="1:3" x14ac:dyDescent="0.25">
      <c r="A3" t="s">
        <v>435</v>
      </c>
      <c r="C3" t="s">
        <v>443</v>
      </c>
    </row>
    <row r="4" spans="1:3" x14ac:dyDescent="0.25">
      <c r="A4" t="s">
        <v>436</v>
      </c>
      <c r="C4" t="s">
        <v>444</v>
      </c>
    </row>
    <row r="5" spans="1:3" x14ac:dyDescent="0.25">
      <c r="A5" t="s">
        <v>437</v>
      </c>
      <c r="C5" t="s">
        <v>445</v>
      </c>
    </row>
    <row r="6" spans="1:3" x14ac:dyDescent="0.25">
      <c r="A6" t="s">
        <v>438</v>
      </c>
      <c r="C6" t="s">
        <v>446</v>
      </c>
    </row>
    <row r="7" spans="1:3" x14ac:dyDescent="0.25">
      <c r="A7" t="s">
        <v>439</v>
      </c>
      <c r="C7" t="s">
        <v>447</v>
      </c>
    </row>
    <row r="8" spans="1:3" x14ac:dyDescent="0.25">
      <c r="A8" t="s">
        <v>440</v>
      </c>
      <c r="C8" t="s">
        <v>448</v>
      </c>
    </row>
    <row r="9" spans="1:3" x14ac:dyDescent="0.25">
      <c r="C9" t="s">
        <v>464</v>
      </c>
    </row>
    <row r="11" spans="1:3" x14ac:dyDescent="0.25">
      <c r="A11" s="14" t="s">
        <v>465</v>
      </c>
    </row>
    <row r="13" spans="1:3" x14ac:dyDescent="0.25">
      <c r="C13" s="14" t="s">
        <v>466</v>
      </c>
    </row>
  </sheetData>
  <hyperlinks>
    <hyperlink ref="A11" r:id="rId1" xr:uid="{12E1EA5F-A91F-401B-9F48-7AE541110EBB}"/>
    <hyperlink ref="C13" r:id="rId2" xr:uid="{776DCC8A-7CEE-48A2-B5D8-98371206BE3D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FA36-B39C-46D7-B8E9-F7327E0A8545}">
  <dimension ref="A1:D211"/>
  <sheetViews>
    <sheetView workbookViewId="0">
      <selection activeCell="B15" sqref="B15"/>
    </sheetView>
  </sheetViews>
  <sheetFormatPr defaultRowHeight="15" x14ac:dyDescent="0.25"/>
  <cols>
    <col min="1" max="1" width="77" bestFit="1" customWidth="1"/>
    <col min="2" max="2" width="14.7109375" bestFit="1" customWidth="1"/>
    <col min="3" max="3" width="23.42578125" bestFit="1" customWidth="1"/>
    <col min="4" max="4" width="61.7109375" bestFit="1" customWidth="1"/>
  </cols>
  <sheetData>
    <row r="1" spans="1:4" x14ac:dyDescent="0.25">
      <c r="A1" t="s">
        <v>430</v>
      </c>
      <c r="B1" t="s">
        <v>219</v>
      </c>
      <c r="C1" t="s">
        <v>432</v>
      </c>
      <c r="D1" t="s">
        <v>431</v>
      </c>
    </row>
    <row r="2" spans="1:4" x14ac:dyDescent="0.25">
      <c r="A2" t="s">
        <v>252</v>
      </c>
      <c r="B2" t="str">
        <f t="shared" ref="B2:B33" si="0">TRIM(MID(SUBSTITUTE(D2, "_", REPT(" ", 100)), 5*100+1, 100))</f>
        <v>il</v>
      </c>
      <c r="C2" t="str">
        <f t="shared" ref="C2:C33" si="1">TRIM(MID(SUBSTITUTE(A2, "_", REPT(" ", 100)), 6*100+1, 100))</f>
        <v>devices</v>
      </c>
      <c r="D2" t="str">
        <f t="shared" ref="D2:D33" si="2">LEFT(A2, FIND(" •", A2)-1)</f>
        <v>edp_consumer_dcs_consumer_dcs_il_devices_lz</v>
      </c>
    </row>
    <row r="3" spans="1:4" x14ac:dyDescent="0.25">
      <c r="A3" t="s">
        <v>268</v>
      </c>
      <c r="B3" t="str">
        <f t="shared" si="0"/>
        <v>nl</v>
      </c>
      <c r="C3" t="str">
        <f t="shared" si="1"/>
        <v>devices</v>
      </c>
      <c r="D3" t="str">
        <f t="shared" si="2"/>
        <v>edp_consumer_dcs_consumer_dcs_nl_devices_lz</v>
      </c>
    </row>
    <row r="4" spans="1:4" x14ac:dyDescent="0.25">
      <c r="A4" t="s">
        <v>276</v>
      </c>
      <c r="B4" t="str">
        <f t="shared" si="0"/>
        <v>it</v>
      </c>
      <c r="C4" t="str">
        <f t="shared" si="1"/>
        <v>devices</v>
      </c>
      <c r="D4" t="str">
        <f t="shared" si="2"/>
        <v>edp_consumer_dcs_consumer_dcs_it_devices_lz</v>
      </c>
    </row>
    <row r="5" spans="1:4" x14ac:dyDescent="0.25">
      <c r="A5" t="s">
        <v>288</v>
      </c>
      <c r="B5" t="str">
        <f t="shared" si="0"/>
        <v>lt</v>
      </c>
      <c r="C5" t="str">
        <f t="shared" si="1"/>
        <v>devices</v>
      </c>
      <c r="D5" t="str">
        <f t="shared" si="2"/>
        <v>edp_consumer_dcs_consumer_dcs_lt_devices_lz</v>
      </c>
    </row>
    <row r="6" spans="1:4" x14ac:dyDescent="0.25">
      <c r="A6" t="s">
        <v>309</v>
      </c>
      <c r="B6" t="str">
        <f t="shared" si="0"/>
        <v>nz</v>
      </c>
      <c r="C6" t="str">
        <f t="shared" si="1"/>
        <v>devices</v>
      </c>
      <c r="D6" t="str">
        <f t="shared" si="2"/>
        <v>edp_consumer_dcs_consumer_dcs_nz_devices_lz</v>
      </c>
    </row>
    <row r="7" spans="1:4" x14ac:dyDescent="0.25">
      <c r="A7" t="s">
        <v>319</v>
      </c>
      <c r="B7" t="str">
        <f t="shared" si="0"/>
        <v>kz</v>
      </c>
      <c r="C7" t="str">
        <f t="shared" si="1"/>
        <v>devices</v>
      </c>
      <c r="D7" t="str">
        <f t="shared" si="2"/>
        <v>edp_consumer_dcs_consumer_dcs_kz_devices_lz</v>
      </c>
    </row>
    <row r="8" spans="1:4" x14ac:dyDescent="0.25">
      <c r="A8" t="s">
        <v>340</v>
      </c>
      <c r="B8" t="str">
        <f t="shared" si="0"/>
        <v>ua</v>
      </c>
      <c r="C8" t="str">
        <f t="shared" si="1"/>
        <v>devices</v>
      </c>
      <c r="D8" t="str">
        <f t="shared" si="2"/>
        <v>edp_consumer_dcs_consumer_dcs_ua_devices_lz</v>
      </c>
    </row>
    <row r="9" spans="1:4" x14ac:dyDescent="0.25">
      <c r="A9" t="s">
        <v>346</v>
      </c>
      <c r="B9" t="str">
        <f t="shared" si="0"/>
        <v>se</v>
      </c>
      <c r="C9" t="str">
        <f t="shared" si="1"/>
        <v>devices</v>
      </c>
      <c r="D9" t="str">
        <f t="shared" si="2"/>
        <v>edp_consumer_dcs_consumer_dcs_se_devices_lz</v>
      </c>
    </row>
    <row r="10" spans="1:4" x14ac:dyDescent="0.25">
      <c r="A10" t="s">
        <v>349</v>
      </c>
      <c r="B10" t="str">
        <f t="shared" si="0"/>
        <v>au</v>
      </c>
      <c r="C10" t="str">
        <f t="shared" si="1"/>
        <v>devices</v>
      </c>
      <c r="D10" t="str">
        <f t="shared" si="2"/>
        <v>edp_consumer_dcs_consumer_dcs_au_devices_lz</v>
      </c>
    </row>
    <row r="11" spans="1:4" x14ac:dyDescent="0.25">
      <c r="A11" t="s">
        <v>351</v>
      </c>
      <c r="B11" t="str">
        <f t="shared" si="0"/>
        <v>pt</v>
      </c>
      <c r="C11" t="str">
        <f t="shared" si="1"/>
        <v>devices</v>
      </c>
      <c r="D11" t="str">
        <f t="shared" si="2"/>
        <v>edp_consumer_dcs_consumer_dcs_pt_devices_lz</v>
      </c>
    </row>
    <row r="12" spans="1:4" x14ac:dyDescent="0.25">
      <c r="A12" t="s">
        <v>354</v>
      </c>
      <c r="B12" t="str">
        <f t="shared" si="0"/>
        <v>ca</v>
      </c>
      <c r="C12" t="str">
        <f t="shared" si="1"/>
        <v>devices</v>
      </c>
      <c r="D12" t="str">
        <f t="shared" si="2"/>
        <v>edp_consumer_dcs_consumer_dcs_ca_devices_lz</v>
      </c>
    </row>
    <row r="13" spans="1:4" x14ac:dyDescent="0.25">
      <c r="A13" t="s">
        <v>368</v>
      </c>
      <c r="B13" t="str">
        <f t="shared" si="0"/>
        <v>dk</v>
      </c>
      <c r="C13" t="str">
        <f t="shared" si="1"/>
        <v>devices</v>
      </c>
      <c r="D13" t="str">
        <f t="shared" si="2"/>
        <v>edp_consumer_dcs_consumer_dcs_dk_devices_lz</v>
      </c>
    </row>
    <row r="14" spans="1:4" x14ac:dyDescent="0.25">
      <c r="A14" t="s">
        <v>396</v>
      </c>
      <c r="B14" t="str">
        <f t="shared" si="0"/>
        <v>ro</v>
      </c>
      <c r="C14" t="str">
        <f t="shared" si="1"/>
        <v>devices</v>
      </c>
      <c r="D14" t="str">
        <f t="shared" si="2"/>
        <v>edp_consumer_dcs_consumer_dcs_ro_devices_lz</v>
      </c>
    </row>
    <row r="15" spans="1:4" x14ac:dyDescent="0.25">
      <c r="A15" t="s">
        <v>412</v>
      </c>
      <c r="B15" t="str">
        <f t="shared" si="0"/>
        <v>gr</v>
      </c>
      <c r="C15" t="str">
        <f t="shared" si="1"/>
        <v>devices</v>
      </c>
      <c r="D15" t="str">
        <f t="shared" si="2"/>
        <v>edp_consumer_dcs_consumer_dcs_gr_devices_lz</v>
      </c>
    </row>
    <row r="16" spans="1:4" x14ac:dyDescent="0.25">
      <c r="A16" t="s">
        <v>254</v>
      </c>
      <c r="B16" t="str">
        <f t="shared" si="0"/>
        <v>gr</v>
      </c>
      <c r="C16" t="str">
        <f t="shared" si="1"/>
        <v>earnings</v>
      </c>
      <c r="D16" t="str">
        <f t="shared" si="2"/>
        <v>edp_consumer_dcs_consumer_dcs_gr_earnings_lz</v>
      </c>
    </row>
    <row r="17" spans="1:4" x14ac:dyDescent="0.25">
      <c r="A17" t="s">
        <v>255</v>
      </c>
      <c r="B17" t="str">
        <f t="shared" si="0"/>
        <v>dk</v>
      </c>
      <c r="C17" t="str">
        <f t="shared" si="1"/>
        <v>earnings</v>
      </c>
      <c r="D17" t="str">
        <f t="shared" si="2"/>
        <v>edp_consumer_dcs_consumer_dcs_dk_earnings_lz</v>
      </c>
    </row>
    <row r="18" spans="1:4" x14ac:dyDescent="0.25">
      <c r="A18" t="s">
        <v>258</v>
      </c>
      <c r="B18" t="str">
        <f t="shared" si="0"/>
        <v>ro</v>
      </c>
      <c r="C18" t="str">
        <f t="shared" si="1"/>
        <v>earnings</v>
      </c>
      <c r="D18" t="str">
        <f t="shared" si="2"/>
        <v>edp_consumer_dcs_consumer_dcs_ro_earnings_lz</v>
      </c>
    </row>
    <row r="19" spans="1:4" x14ac:dyDescent="0.25">
      <c r="A19" t="s">
        <v>283</v>
      </c>
      <c r="B19" t="str">
        <f t="shared" si="0"/>
        <v>kz</v>
      </c>
      <c r="C19" t="str">
        <f t="shared" si="1"/>
        <v>earnings</v>
      </c>
      <c r="D19" t="str">
        <f t="shared" si="2"/>
        <v>edp_consumer_dcs_consumer_dcs_kz_earnings_lz</v>
      </c>
    </row>
    <row r="20" spans="1:4" x14ac:dyDescent="0.25">
      <c r="A20" t="s">
        <v>284</v>
      </c>
      <c r="B20" t="str">
        <f t="shared" si="0"/>
        <v>pt</v>
      </c>
      <c r="C20" t="str">
        <f t="shared" si="1"/>
        <v>earnings</v>
      </c>
      <c r="D20" t="str">
        <f t="shared" si="2"/>
        <v>edp_consumer_dcs_consumer_dcs_pt_earnings_lz</v>
      </c>
    </row>
    <row r="21" spans="1:4" x14ac:dyDescent="0.25">
      <c r="A21" t="s">
        <v>286</v>
      </c>
      <c r="B21" t="str">
        <f t="shared" si="0"/>
        <v>lt</v>
      </c>
      <c r="C21" t="str">
        <f t="shared" si="1"/>
        <v>earnings</v>
      </c>
      <c r="D21" t="str">
        <f t="shared" si="2"/>
        <v>edp_consumer_dcs_consumer_dcs_lt_earnings_lz</v>
      </c>
    </row>
    <row r="22" spans="1:4" x14ac:dyDescent="0.25">
      <c r="A22" t="s">
        <v>287</v>
      </c>
      <c r="B22" t="str">
        <f t="shared" si="0"/>
        <v>it</v>
      </c>
      <c r="C22" t="str">
        <f t="shared" si="1"/>
        <v>earnings</v>
      </c>
      <c r="D22" t="str">
        <f t="shared" si="2"/>
        <v>edp_consumer_dcs_consumer_dcs_it_earnings_lz</v>
      </c>
    </row>
    <row r="23" spans="1:4" x14ac:dyDescent="0.25">
      <c r="A23" t="s">
        <v>299</v>
      </c>
      <c r="B23" t="str">
        <f t="shared" si="0"/>
        <v>nz</v>
      </c>
      <c r="C23" t="str">
        <f t="shared" si="1"/>
        <v>earnings</v>
      </c>
      <c r="D23" t="str">
        <f t="shared" si="2"/>
        <v>edp_consumer_dcs_consumer_dcs_nz_earnings_lz</v>
      </c>
    </row>
    <row r="24" spans="1:4" x14ac:dyDescent="0.25">
      <c r="A24" t="s">
        <v>308</v>
      </c>
      <c r="B24" t="str">
        <f t="shared" si="0"/>
        <v>il</v>
      </c>
      <c r="C24" t="str">
        <f t="shared" si="1"/>
        <v>earnings</v>
      </c>
      <c r="D24" t="str">
        <f t="shared" si="2"/>
        <v>edp_consumer_dcs_consumer_dcs_il_earnings_lz</v>
      </c>
    </row>
    <row r="25" spans="1:4" x14ac:dyDescent="0.25">
      <c r="A25" t="s">
        <v>330</v>
      </c>
      <c r="B25" t="str">
        <f t="shared" si="0"/>
        <v>au</v>
      </c>
      <c r="C25" t="str">
        <f t="shared" si="1"/>
        <v>earnings</v>
      </c>
      <c r="D25" t="str">
        <f t="shared" si="2"/>
        <v>edp_consumer_dcs_consumer_dcs_au_earnings_lz</v>
      </c>
    </row>
    <row r="26" spans="1:4" x14ac:dyDescent="0.25">
      <c r="A26" t="s">
        <v>335</v>
      </c>
      <c r="B26" t="str">
        <f t="shared" si="0"/>
        <v>se</v>
      </c>
      <c r="C26" t="str">
        <f t="shared" si="1"/>
        <v>earnings</v>
      </c>
      <c r="D26" t="str">
        <f t="shared" si="2"/>
        <v>edp_consumer_dcs_consumer_dcs_se_earnings_lz</v>
      </c>
    </row>
    <row r="27" spans="1:4" x14ac:dyDescent="0.25">
      <c r="A27" t="s">
        <v>337</v>
      </c>
      <c r="B27" t="str">
        <f t="shared" si="0"/>
        <v>nl</v>
      </c>
      <c r="C27" t="str">
        <f t="shared" si="1"/>
        <v>earnings</v>
      </c>
      <c r="D27" t="str">
        <f t="shared" si="2"/>
        <v>edp_consumer_dcs_consumer_dcs_nl_earnings_lz</v>
      </c>
    </row>
    <row r="28" spans="1:4" x14ac:dyDescent="0.25">
      <c r="A28" t="s">
        <v>359</v>
      </c>
      <c r="B28" t="str">
        <f t="shared" si="0"/>
        <v>ca</v>
      </c>
      <c r="C28" t="str">
        <f t="shared" si="1"/>
        <v>earnings</v>
      </c>
      <c r="D28" t="str">
        <f t="shared" si="2"/>
        <v>edp_consumer_dcs_consumer_dcs_ca_earnings_lz</v>
      </c>
    </row>
    <row r="29" spans="1:4" x14ac:dyDescent="0.25">
      <c r="A29" t="s">
        <v>383</v>
      </c>
      <c r="B29" t="str">
        <f t="shared" si="0"/>
        <v>ua</v>
      </c>
      <c r="C29" t="str">
        <f t="shared" si="1"/>
        <v>earnings</v>
      </c>
      <c r="D29" t="str">
        <f t="shared" si="2"/>
        <v>edp_consumer_dcs_consumer_dcs_ua_earnings_lz</v>
      </c>
    </row>
    <row r="30" spans="1:4" x14ac:dyDescent="0.25">
      <c r="A30" t="s">
        <v>263</v>
      </c>
      <c r="B30" t="str">
        <f t="shared" si="0"/>
        <v>ro</v>
      </c>
      <c r="C30" t="str">
        <f t="shared" si="1"/>
        <v>giftcertificates</v>
      </c>
      <c r="D30" t="str">
        <f t="shared" si="2"/>
        <v>edp_consumer_dcs_consumer_dcs_ro_giftcertificates_lz</v>
      </c>
    </row>
    <row r="31" spans="1:4" x14ac:dyDescent="0.25">
      <c r="A31" t="s">
        <v>264</v>
      </c>
      <c r="B31" t="str">
        <f t="shared" si="0"/>
        <v>nl</v>
      </c>
      <c r="C31" t="str">
        <f t="shared" si="1"/>
        <v>giftcertificates</v>
      </c>
      <c r="D31" t="str">
        <f t="shared" si="2"/>
        <v>edp_consumer_dcs_consumer_dcs_nl_giftcertificates_lz</v>
      </c>
    </row>
    <row r="32" spans="1:4" x14ac:dyDescent="0.25">
      <c r="A32" t="s">
        <v>271</v>
      </c>
      <c r="B32" t="str">
        <f t="shared" si="0"/>
        <v>kz</v>
      </c>
      <c r="C32" t="str">
        <f t="shared" si="1"/>
        <v>giftcertificates</v>
      </c>
      <c r="D32" t="str">
        <f t="shared" si="2"/>
        <v>edp_consumer_dcs_consumer_dcs_kz_giftcertificates_lz</v>
      </c>
    </row>
    <row r="33" spans="1:4" x14ac:dyDescent="0.25">
      <c r="A33" t="s">
        <v>279</v>
      </c>
      <c r="B33" t="str">
        <f t="shared" si="0"/>
        <v>lt</v>
      </c>
      <c r="C33" t="str">
        <f t="shared" si="1"/>
        <v>giftcertificates</v>
      </c>
      <c r="D33" t="str">
        <f t="shared" si="2"/>
        <v>edp_consumer_dcs_consumer_dcs_lt_giftcertificates_lz</v>
      </c>
    </row>
    <row r="34" spans="1:4" x14ac:dyDescent="0.25">
      <c r="A34" t="s">
        <v>298</v>
      </c>
      <c r="B34" t="str">
        <f t="shared" ref="B34:B65" si="3">TRIM(MID(SUBSTITUTE(D34, "_", REPT(" ", 100)), 5*100+1, 100))</f>
        <v>il</v>
      </c>
      <c r="C34" t="str">
        <f t="shared" ref="C34:C65" si="4">TRIM(MID(SUBSTITUTE(A34, "_", REPT(" ", 100)), 6*100+1, 100))</f>
        <v>giftcertificates</v>
      </c>
      <c r="D34" t="str">
        <f t="shared" ref="D34:D65" si="5">LEFT(A34, FIND(" •", A34)-1)</f>
        <v>edp_consumer_dcs_consumer_dcs_il_giftcertificates_lz</v>
      </c>
    </row>
    <row r="35" spans="1:4" x14ac:dyDescent="0.25">
      <c r="A35" t="s">
        <v>304</v>
      </c>
      <c r="B35" t="str">
        <f t="shared" si="3"/>
        <v>au</v>
      </c>
      <c r="C35" t="str">
        <f t="shared" si="4"/>
        <v>giftcertificates</v>
      </c>
      <c r="D35" t="str">
        <f t="shared" si="5"/>
        <v>edp_consumer_dcs_consumer_dcs_au_giftcertificates_lz</v>
      </c>
    </row>
    <row r="36" spans="1:4" x14ac:dyDescent="0.25">
      <c r="A36" t="s">
        <v>321</v>
      </c>
      <c r="B36" t="str">
        <f t="shared" si="3"/>
        <v>gr</v>
      </c>
      <c r="C36" t="str">
        <f t="shared" si="4"/>
        <v>giftcertificates</v>
      </c>
      <c r="D36" t="str">
        <f t="shared" si="5"/>
        <v>edp_consumer_dcs_consumer_dcs_gr_giftcertificates_lz</v>
      </c>
    </row>
    <row r="37" spans="1:4" x14ac:dyDescent="0.25">
      <c r="A37" t="s">
        <v>326</v>
      </c>
      <c r="B37" t="str">
        <f t="shared" si="3"/>
        <v>it</v>
      </c>
      <c r="C37" t="str">
        <f t="shared" si="4"/>
        <v>giftcertificates</v>
      </c>
      <c r="D37" t="str">
        <f t="shared" si="5"/>
        <v>edp_consumer_dcs_consumer_dcs_it_giftcertificates_lz</v>
      </c>
    </row>
    <row r="38" spans="1:4" x14ac:dyDescent="0.25">
      <c r="A38" t="s">
        <v>333</v>
      </c>
      <c r="B38" t="str">
        <f t="shared" si="3"/>
        <v>pt</v>
      </c>
      <c r="C38" t="str">
        <f t="shared" si="4"/>
        <v>giftcertificates</v>
      </c>
      <c r="D38" t="str">
        <f t="shared" si="5"/>
        <v>edp_consumer_dcs_consumer_dcs_pt_giftcertificates_lz</v>
      </c>
    </row>
    <row r="39" spans="1:4" x14ac:dyDescent="0.25">
      <c r="A39" t="s">
        <v>356</v>
      </c>
      <c r="B39" t="str">
        <f t="shared" si="3"/>
        <v>ca</v>
      </c>
      <c r="C39" t="str">
        <f t="shared" si="4"/>
        <v>giftcertificates</v>
      </c>
      <c r="D39" t="str">
        <f t="shared" si="5"/>
        <v>edp_consumer_dcs_consumer_dcs_ca_giftcertificates_lz</v>
      </c>
    </row>
    <row r="40" spans="1:4" x14ac:dyDescent="0.25">
      <c r="A40" t="s">
        <v>361</v>
      </c>
      <c r="B40" t="str">
        <f t="shared" si="3"/>
        <v>dk</v>
      </c>
      <c r="C40" t="str">
        <f t="shared" si="4"/>
        <v>giftcertificates</v>
      </c>
      <c r="D40" t="str">
        <f t="shared" si="5"/>
        <v>edp_consumer_dcs_consumer_dcs_dk_giftcertificates_lz</v>
      </c>
    </row>
    <row r="41" spans="1:4" x14ac:dyDescent="0.25">
      <c r="A41" t="s">
        <v>394</v>
      </c>
      <c r="B41" t="str">
        <f t="shared" si="3"/>
        <v>se</v>
      </c>
      <c r="C41" t="str">
        <f t="shared" si="4"/>
        <v>giftcertificates</v>
      </c>
      <c r="D41" t="str">
        <f t="shared" si="5"/>
        <v>edp_consumer_dcs_consumer_dcs_se_giftcertificates_lz</v>
      </c>
    </row>
    <row r="42" spans="1:4" x14ac:dyDescent="0.25">
      <c r="A42" t="s">
        <v>398</v>
      </c>
      <c r="B42" t="str">
        <f t="shared" si="3"/>
        <v>ua</v>
      </c>
      <c r="C42" t="str">
        <f t="shared" si="4"/>
        <v>giftcertificates</v>
      </c>
      <c r="D42" t="str">
        <f t="shared" si="5"/>
        <v>edp_consumer_dcs_consumer_dcs_ua_giftcertificates_lz</v>
      </c>
    </row>
    <row r="43" spans="1:4" x14ac:dyDescent="0.25">
      <c r="A43" t="s">
        <v>407</v>
      </c>
      <c r="B43" t="str">
        <f t="shared" si="3"/>
        <v>nz</v>
      </c>
      <c r="C43" t="str">
        <f t="shared" si="4"/>
        <v>giftcertificates</v>
      </c>
      <c r="D43" t="str">
        <f t="shared" si="5"/>
        <v>edp_consumer_dcs_consumer_dcs_nz_giftcertificates_lz</v>
      </c>
    </row>
    <row r="44" spans="1:4" x14ac:dyDescent="0.25">
      <c r="A44" t="s">
        <v>234</v>
      </c>
      <c r="B44" t="str">
        <f t="shared" si="3"/>
        <v>nl</v>
      </c>
      <c r="C44" t="str">
        <f t="shared" si="4"/>
        <v>orderhistory</v>
      </c>
      <c r="D44" t="str">
        <f t="shared" si="5"/>
        <v>edp_consumer_dcs_consumer_dcs_nl_orderhistory_lz</v>
      </c>
    </row>
    <row r="45" spans="1:4" x14ac:dyDescent="0.25">
      <c r="A45" t="s">
        <v>235</v>
      </c>
      <c r="B45" t="str">
        <f t="shared" si="3"/>
        <v>se</v>
      </c>
      <c r="C45" t="str">
        <f t="shared" si="4"/>
        <v>orderhistory</v>
      </c>
      <c r="D45" t="str">
        <f t="shared" si="5"/>
        <v>edp_consumer_dcs_consumer_dcs_se_orderhistory_lz</v>
      </c>
    </row>
    <row r="46" spans="1:4" x14ac:dyDescent="0.25">
      <c r="A46" t="s">
        <v>236</v>
      </c>
      <c r="B46" t="str">
        <f t="shared" si="3"/>
        <v>au</v>
      </c>
      <c r="C46" t="str">
        <f t="shared" si="4"/>
        <v>orderhistory</v>
      </c>
      <c r="D46" t="str">
        <f t="shared" si="5"/>
        <v>edp_consumer_dcs_consumer_dcs_au_orderhistory_lz</v>
      </c>
    </row>
    <row r="47" spans="1:4" x14ac:dyDescent="0.25">
      <c r="A47" t="s">
        <v>237</v>
      </c>
      <c r="B47" t="str">
        <f t="shared" si="3"/>
        <v>ca</v>
      </c>
      <c r="C47" t="str">
        <f t="shared" si="4"/>
        <v>orderhistory</v>
      </c>
      <c r="D47" t="str">
        <f t="shared" si="5"/>
        <v>edp_consumer_dcs_consumer_dcs_ca_orderhistory_lz</v>
      </c>
    </row>
    <row r="48" spans="1:4" x14ac:dyDescent="0.25">
      <c r="A48" t="s">
        <v>238</v>
      </c>
      <c r="B48" t="str">
        <f t="shared" si="3"/>
        <v>pt</v>
      </c>
      <c r="C48" t="str">
        <f t="shared" si="4"/>
        <v>orderhistory</v>
      </c>
      <c r="D48" t="str">
        <f t="shared" si="5"/>
        <v>edp_consumer_dcs_consumer_dcs_pt_orderhistory_lz</v>
      </c>
    </row>
    <row r="49" spans="1:4" x14ac:dyDescent="0.25">
      <c r="A49" t="s">
        <v>239</v>
      </c>
      <c r="B49" t="str">
        <f t="shared" si="3"/>
        <v>dk</v>
      </c>
      <c r="C49" t="str">
        <f t="shared" si="4"/>
        <v>orderhistory</v>
      </c>
      <c r="D49" t="str">
        <f t="shared" si="5"/>
        <v>edp_consumer_dcs_consumer_dcs_dk_orderhistory_lz</v>
      </c>
    </row>
    <row r="50" spans="1:4" x14ac:dyDescent="0.25">
      <c r="A50" t="s">
        <v>240</v>
      </c>
      <c r="B50" t="str">
        <f t="shared" si="3"/>
        <v>ro</v>
      </c>
      <c r="C50" t="str">
        <f t="shared" si="4"/>
        <v>orderhistory</v>
      </c>
      <c r="D50" t="str">
        <f t="shared" si="5"/>
        <v>edp_consumer_dcs_consumer_dcs_ro_orderhistory_lz</v>
      </c>
    </row>
    <row r="51" spans="1:4" x14ac:dyDescent="0.25">
      <c r="A51" t="s">
        <v>241</v>
      </c>
      <c r="B51" t="str">
        <f t="shared" si="3"/>
        <v>gr</v>
      </c>
      <c r="C51" t="str">
        <f t="shared" si="4"/>
        <v>orderhistory</v>
      </c>
      <c r="D51" t="str">
        <f t="shared" si="5"/>
        <v>edp_consumer_dcs_consumer_dcs_gr_orderhistory_lz</v>
      </c>
    </row>
    <row r="52" spans="1:4" x14ac:dyDescent="0.25">
      <c r="A52" t="s">
        <v>242</v>
      </c>
      <c r="B52" t="str">
        <f t="shared" si="3"/>
        <v>ua</v>
      </c>
      <c r="C52" t="str">
        <f t="shared" si="4"/>
        <v>orderhistory</v>
      </c>
      <c r="D52" t="str">
        <f t="shared" si="5"/>
        <v>edp_consumer_dcs_consumer_dcs_ua_orderhistory_lz</v>
      </c>
    </row>
    <row r="53" spans="1:4" x14ac:dyDescent="0.25">
      <c r="A53" t="s">
        <v>243</v>
      </c>
      <c r="B53" t="str">
        <f t="shared" si="3"/>
        <v>il</v>
      </c>
      <c r="C53" t="str">
        <f t="shared" si="4"/>
        <v>orderhistory</v>
      </c>
      <c r="D53" t="str">
        <f t="shared" si="5"/>
        <v>edp_consumer_dcs_consumer_dcs_il_orderhistory_lz</v>
      </c>
    </row>
    <row r="54" spans="1:4" x14ac:dyDescent="0.25">
      <c r="A54" t="s">
        <v>244</v>
      </c>
      <c r="B54" t="str">
        <f t="shared" si="3"/>
        <v>lt</v>
      </c>
      <c r="C54" t="str">
        <f t="shared" si="4"/>
        <v>orderhistory</v>
      </c>
      <c r="D54" t="str">
        <f t="shared" si="5"/>
        <v>edp_consumer_dcs_consumer_dcs_lt_orderhistory_lz</v>
      </c>
    </row>
    <row r="55" spans="1:4" x14ac:dyDescent="0.25">
      <c r="A55" t="s">
        <v>245</v>
      </c>
      <c r="B55" t="str">
        <f t="shared" si="3"/>
        <v>kz</v>
      </c>
      <c r="C55" t="str">
        <f t="shared" si="4"/>
        <v>orderhistory</v>
      </c>
      <c r="D55" t="str">
        <f t="shared" si="5"/>
        <v>edp_consumer_dcs_consumer_dcs_kz_orderhistory_lz</v>
      </c>
    </row>
    <row r="56" spans="1:4" x14ac:dyDescent="0.25">
      <c r="A56" t="s">
        <v>246</v>
      </c>
      <c r="B56" t="str">
        <f t="shared" si="3"/>
        <v>nz</v>
      </c>
      <c r="C56" t="str">
        <f t="shared" si="4"/>
        <v>orderhistory</v>
      </c>
      <c r="D56" t="str">
        <f t="shared" si="5"/>
        <v>edp_consumer_dcs_consumer_dcs_nz_orderhistory_lz</v>
      </c>
    </row>
    <row r="57" spans="1:4" x14ac:dyDescent="0.25">
      <c r="A57" t="s">
        <v>247</v>
      </c>
      <c r="B57" t="str">
        <f t="shared" si="3"/>
        <v>it</v>
      </c>
      <c r="C57" t="str">
        <f t="shared" si="4"/>
        <v>orderhistory</v>
      </c>
      <c r="D57" t="str">
        <f t="shared" si="5"/>
        <v>edp_consumer_dcs_consumer_dcs_it_orderhistory_lz</v>
      </c>
    </row>
    <row r="58" spans="1:4" x14ac:dyDescent="0.25">
      <c r="A58" t="s">
        <v>294</v>
      </c>
      <c r="B58" t="str">
        <f t="shared" si="3"/>
        <v>ro</v>
      </c>
      <c r="C58" t="str">
        <f t="shared" si="4"/>
        <v>orderitems</v>
      </c>
      <c r="D58" t="str">
        <f t="shared" si="5"/>
        <v>edp_consumer_dcs_consumer_dcs_ro_orderitems_lz</v>
      </c>
    </row>
    <row r="59" spans="1:4" x14ac:dyDescent="0.25">
      <c r="A59" t="s">
        <v>295</v>
      </c>
      <c r="B59" t="str">
        <f t="shared" si="3"/>
        <v>nz</v>
      </c>
      <c r="C59" t="str">
        <f t="shared" si="4"/>
        <v>orderitems</v>
      </c>
      <c r="D59" t="str">
        <f t="shared" si="5"/>
        <v>edp_consumer_dcs_consumer_dcs_nz_orderitems_lz</v>
      </c>
    </row>
    <row r="60" spans="1:4" x14ac:dyDescent="0.25">
      <c r="A60" t="s">
        <v>318</v>
      </c>
      <c r="B60" t="str">
        <f t="shared" si="3"/>
        <v>ua</v>
      </c>
      <c r="C60" t="str">
        <f t="shared" si="4"/>
        <v>orderitems</v>
      </c>
      <c r="D60" t="str">
        <f t="shared" si="5"/>
        <v>edp_consumer_dcs_consumer_dcs_ua_orderitems_lz</v>
      </c>
    </row>
    <row r="61" spans="1:4" x14ac:dyDescent="0.25">
      <c r="A61" t="s">
        <v>342</v>
      </c>
      <c r="B61" t="str">
        <f t="shared" si="3"/>
        <v>ca</v>
      </c>
      <c r="C61" t="str">
        <f t="shared" si="4"/>
        <v>orderitems</v>
      </c>
      <c r="D61" t="str">
        <f t="shared" si="5"/>
        <v>edp_consumer_dcs_consumer_dcs_ca_orderitems_lz</v>
      </c>
    </row>
    <row r="62" spans="1:4" x14ac:dyDescent="0.25">
      <c r="A62" t="s">
        <v>367</v>
      </c>
      <c r="B62" t="str">
        <f t="shared" si="3"/>
        <v>gr</v>
      </c>
      <c r="C62" t="str">
        <f t="shared" si="4"/>
        <v>orderitems</v>
      </c>
      <c r="D62" t="str">
        <f t="shared" si="5"/>
        <v>edp_consumer_dcs_consumer_dcs_gr_orderitems_lz</v>
      </c>
    </row>
    <row r="63" spans="1:4" x14ac:dyDescent="0.25">
      <c r="A63" t="s">
        <v>372</v>
      </c>
      <c r="B63" t="str">
        <f t="shared" si="3"/>
        <v>dk</v>
      </c>
      <c r="C63" t="str">
        <f t="shared" si="4"/>
        <v>orderitems</v>
      </c>
      <c r="D63" t="str">
        <f t="shared" si="5"/>
        <v>edp_consumer_dcs_consumer_dcs_dk_orderitems_lz</v>
      </c>
    </row>
    <row r="64" spans="1:4" x14ac:dyDescent="0.25">
      <c r="A64" t="s">
        <v>377</v>
      </c>
      <c r="B64" t="str">
        <f t="shared" si="3"/>
        <v>il</v>
      </c>
      <c r="C64" t="str">
        <f t="shared" si="4"/>
        <v>orderitems</v>
      </c>
      <c r="D64" t="str">
        <f t="shared" si="5"/>
        <v>edp_consumer_dcs_consumer_dcs_il_orderitems_lz</v>
      </c>
    </row>
    <row r="65" spans="1:4" x14ac:dyDescent="0.25">
      <c r="A65" t="s">
        <v>388</v>
      </c>
      <c r="B65" t="str">
        <f t="shared" si="3"/>
        <v>lt</v>
      </c>
      <c r="C65" t="str">
        <f t="shared" si="4"/>
        <v>orderitems</v>
      </c>
      <c r="D65" t="str">
        <f t="shared" si="5"/>
        <v>edp_consumer_dcs_consumer_dcs_lt_orderitems_lz</v>
      </c>
    </row>
    <row r="66" spans="1:4" x14ac:dyDescent="0.25">
      <c r="A66" t="s">
        <v>404</v>
      </c>
      <c r="B66" t="str">
        <f t="shared" ref="B66:B97" si="6">TRIM(MID(SUBSTITUTE(D66, "_", REPT(" ", 100)), 5*100+1, 100))</f>
        <v>pt</v>
      </c>
      <c r="C66" t="str">
        <f t="shared" ref="C66:C97" si="7">TRIM(MID(SUBSTITUTE(A66, "_", REPT(" ", 100)), 6*100+1, 100))</f>
        <v>orderitems</v>
      </c>
      <c r="D66" t="str">
        <f t="shared" ref="D66:D97" si="8">LEFT(A66, FIND(" •", A66)-1)</f>
        <v>edp_consumer_dcs_consumer_dcs_pt_orderitems_lz</v>
      </c>
    </row>
    <row r="67" spans="1:4" x14ac:dyDescent="0.25">
      <c r="A67" t="s">
        <v>416</v>
      </c>
      <c r="B67" t="str">
        <f t="shared" si="6"/>
        <v>kz</v>
      </c>
      <c r="C67" t="str">
        <f t="shared" si="7"/>
        <v>orderitems</v>
      </c>
      <c r="D67" t="str">
        <f t="shared" si="8"/>
        <v>edp_consumer_dcs_consumer_dcs_kz_orderitems_lz</v>
      </c>
    </row>
    <row r="68" spans="1:4" x14ac:dyDescent="0.25">
      <c r="A68" t="s">
        <v>425</v>
      </c>
      <c r="B68" t="str">
        <f t="shared" si="6"/>
        <v>se</v>
      </c>
      <c r="C68" t="str">
        <f t="shared" si="7"/>
        <v>orderitems</v>
      </c>
      <c r="D68" t="str">
        <f t="shared" si="8"/>
        <v>edp_consumer_dcs_consumer_dcs_se_orderitems_lz</v>
      </c>
    </row>
    <row r="69" spans="1:4" x14ac:dyDescent="0.25">
      <c r="A69" t="s">
        <v>426</v>
      </c>
      <c r="B69" t="str">
        <f t="shared" si="6"/>
        <v>nl</v>
      </c>
      <c r="C69" t="str">
        <f t="shared" si="7"/>
        <v>orderitems</v>
      </c>
      <c r="D69" t="str">
        <f t="shared" si="8"/>
        <v>edp_consumer_dcs_consumer_dcs_nl_orderitems_lz</v>
      </c>
    </row>
    <row r="70" spans="1:4" x14ac:dyDescent="0.25">
      <c r="A70" t="s">
        <v>427</v>
      </c>
      <c r="B70" t="str">
        <f t="shared" si="6"/>
        <v>it</v>
      </c>
      <c r="C70" t="str">
        <f t="shared" si="7"/>
        <v>orderitems</v>
      </c>
      <c r="D70" t="str">
        <f t="shared" si="8"/>
        <v>edp_consumer_dcs_consumer_dcs_it_orderitems_lz</v>
      </c>
    </row>
    <row r="71" spans="1:4" x14ac:dyDescent="0.25">
      <c r="A71" t="s">
        <v>429</v>
      </c>
      <c r="B71" t="str">
        <f t="shared" si="6"/>
        <v>au</v>
      </c>
      <c r="C71" t="str">
        <f t="shared" si="7"/>
        <v>orderitems</v>
      </c>
      <c r="D71" t="str">
        <f t="shared" si="8"/>
        <v>edp_consumer_dcs_consumer_dcs_au_orderitems_lz</v>
      </c>
    </row>
    <row r="72" spans="1:4" x14ac:dyDescent="0.25">
      <c r="A72" t="s">
        <v>265</v>
      </c>
      <c r="B72" t="str">
        <f t="shared" si="6"/>
        <v>il</v>
      </c>
      <c r="C72" t="str">
        <f t="shared" si="7"/>
        <v>orders</v>
      </c>
      <c r="D72" t="str">
        <f t="shared" si="8"/>
        <v>edp_consumer_dcs_consumer_dcs_il_orders_lz</v>
      </c>
    </row>
    <row r="73" spans="1:4" x14ac:dyDescent="0.25">
      <c r="A73" t="s">
        <v>273</v>
      </c>
      <c r="B73" t="str">
        <f t="shared" si="6"/>
        <v>se</v>
      </c>
      <c r="C73" t="str">
        <f t="shared" si="7"/>
        <v>orders</v>
      </c>
      <c r="D73" t="str">
        <f t="shared" si="8"/>
        <v>edp_consumer_dcs_consumer_dcs_se_orders_lz</v>
      </c>
    </row>
    <row r="74" spans="1:4" x14ac:dyDescent="0.25">
      <c r="A74" t="s">
        <v>291</v>
      </c>
      <c r="B74" t="str">
        <f t="shared" si="6"/>
        <v>it</v>
      </c>
      <c r="C74" t="str">
        <f t="shared" si="7"/>
        <v>orders</v>
      </c>
      <c r="D74" t="str">
        <f t="shared" si="8"/>
        <v>edp_consumer_dcs_consumer_dcs_it_orders_lz</v>
      </c>
    </row>
    <row r="75" spans="1:4" x14ac:dyDescent="0.25">
      <c r="A75" t="s">
        <v>297</v>
      </c>
      <c r="B75" t="str">
        <f t="shared" si="6"/>
        <v>nl</v>
      </c>
      <c r="C75" t="str">
        <f t="shared" si="7"/>
        <v>orders</v>
      </c>
      <c r="D75" t="str">
        <f t="shared" si="8"/>
        <v>edp_consumer_dcs_consumer_dcs_nl_orders_lz</v>
      </c>
    </row>
    <row r="76" spans="1:4" x14ac:dyDescent="0.25">
      <c r="A76" t="s">
        <v>311</v>
      </c>
      <c r="B76" t="str">
        <f t="shared" si="6"/>
        <v>gr</v>
      </c>
      <c r="C76" t="str">
        <f t="shared" si="7"/>
        <v>orders</v>
      </c>
      <c r="D76" t="str">
        <f t="shared" si="8"/>
        <v>edp_consumer_dcs_consumer_dcs_gr_orders_lz</v>
      </c>
    </row>
    <row r="77" spans="1:4" x14ac:dyDescent="0.25">
      <c r="A77" t="s">
        <v>327</v>
      </c>
      <c r="B77" t="str">
        <f t="shared" si="6"/>
        <v>nz</v>
      </c>
      <c r="C77" t="str">
        <f t="shared" si="7"/>
        <v>orders</v>
      </c>
      <c r="D77" t="str">
        <f t="shared" si="8"/>
        <v>edp_consumer_dcs_consumer_dcs_nz_orders_lz</v>
      </c>
    </row>
    <row r="78" spans="1:4" x14ac:dyDescent="0.25">
      <c r="A78" t="s">
        <v>339</v>
      </c>
      <c r="B78" t="str">
        <f t="shared" si="6"/>
        <v>lt</v>
      </c>
      <c r="C78" t="str">
        <f t="shared" si="7"/>
        <v>orders</v>
      </c>
      <c r="D78" t="str">
        <f t="shared" si="8"/>
        <v>edp_consumer_dcs_consumer_dcs_lt_orders_lz</v>
      </c>
    </row>
    <row r="79" spans="1:4" x14ac:dyDescent="0.25">
      <c r="A79" t="s">
        <v>362</v>
      </c>
      <c r="B79" t="str">
        <f t="shared" si="6"/>
        <v>au</v>
      </c>
      <c r="C79" t="str">
        <f t="shared" si="7"/>
        <v>orders</v>
      </c>
      <c r="D79" t="str">
        <f t="shared" si="8"/>
        <v>edp_consumer_dcs_consumer_dcs_au_orders_lz</v>
      </c>
    </row>
    <row r="80" spans="1:4" x14ac:dyDescent="0.25">
      <c r="A80" t="s">
        <v>364</v>
      </c>
      <c r="B80" t="str">
        <f t="shared" si="6"/>
        <v>ua</v>
      </c>
      <c r="C80" t="str">
        <f t="shared" si="7"/>
        <v>orders</v>
      </c>
      <c r="D80" t="str">
        <f t="shared" si="8"/>
        <v>edp_consumer_dcs_consumer_dcs_ua_orders_lz</v>
      </c>
    </row>
    <row r="81" spans="1:4" x14ac:dyDescent="0.25">
      <c r="A81" t="s">
        <v>370</v>
      </c>
      <c r="B81" t="str">
        <f t="shared" si="6"/>
        <v>dk</v>
      </c>
      <c r="C81" t="str">
        <f t="shared" si="7"/>
        <v>orders</v>
      </c>
      <c r="D81" t="str">
        <f t="shared" si="8"/>
        <v>edp_consumer_dcs_consumer_dcs_dk_orders_lz</v>
      </c>
    </row>
    <row r="82" spans="1:4" x14ac:dyDescent="0.25">
      <c r="A82" t="s">
        <v>381</v>
      </c>
      <c r="B82" t="str">
        <f t="shared" si="6"/>
        <v>kz</v>
      </c>
      <c r="C82" t="str">
        <f t="shared" si="7"/>
        <v>orders</v>
      </c>
      <c r="D82" t="str">
        <f t="shared" si="8"/>
        <v>edp_consumer_dcs_consumer_dcs_kz_orders_lz</v>
      </c>
    </row>
    <row r="83" spans="1:4" x14ac:dyDescent="0.25">
      <c r="A83" t="s">
        <v>385</v>
      </c>
      <c r="B83" t="str">
        <f t="shared" si="6"/>
        <v>ro</v>
      </c>
      <c r="C83" t="str">
        <f t="shared" si="7"/>
        <v>orders</v>
      </c>
      <c r="D83" t="str">
        <f t="shared" si="8"/>
        <v>edp_consumer_dcs_consumer_dcs_ro_orders_lz</v>
      </c>
    </row>
    <row r="84" spans="1:4" x14ac:dyDescent="0.25">
      <c r="A84" t="s">
        <v>399</v>
      </c>
      <c r="B84" t="str">
        <f t="shared" si="6"/>
        <v>ca</v>
      </c>
      <c r="C84" t="str">
        <f t="shared" si="7"/>
        <v>orders</v>
      </c>
      <c r="D84" t="str">
        <f t="shared" si="8"/>
        <v>edp_consumer_dcs_consumer_dcs_ca_orders_lz</v>
      </c>
    </row>
    <row r="85" spans="1:4" x14ac:dyDescent="0.25">
      <c r="A85" t="s">
        <v>414</v>
      </c>
      <c r="B85" t="str">
        <f t="shared" si="6"/>
        <v>pt</v>
      </c>
      <c r="C85" t="str">
        <f t="shared" si="7"/>
        <v>orders</v>
      </c>
      <c r="D85" t="str">
        <f t="shared" si="8"/>
        <v>edp_consumer_dcs_consumer_dcs_pt_orders_lz</v>
      </c>
    </row>
    <row r="86" spans="1:4" x14ac:dyDescent="0.25">
      <c r="A86" t="s">
        <v>249</v>
      </c>
      <c r="B86" t="str">
        <f t="shared" si="6"/>
        <v>gr</v>
      </c>
      <c r="C86" t="str">
        <f t="shared" si="7"/>
        <v>products</v>
      </c>
      <c r="D86" t="str">
        <f t="shared" si="8"/>
        <v>edp_consumer_dcs_consumer_dcs_gr_products_lz</v>
      </c>
    </row>
    <row r="87" spans="1:4" x14ac:dyDescent="0.25">
      <c r="A87" t="s">
        <v>257</v>
      </c>
      <c r="B87" t="str">
        <f t="shared" si="6"/>
        <v>it</v>
      </c>
      <c r="C87" t="str">
        <f t="shared" si="7"/>
        <v>products</v>
      </c>
      <c r="D87" t="str">
        <f t="shared" si="8"/>
        <v>edp_consumer_dcs_consumer_dcs_it_products_lz</v>
      </c>
    </row>
    <row r="88" spans="1:4" x14ac:dyDescent="0.25">
      <c r="A88" t="s">
        <v>262</v>
      </c>
      <c r="B88" t="str">
        <f t="shared" si="6"/>
        <v>dk</v>
      </c>
      <c r="C88" t="str">
        <f t="shared" si="7"/>
        <v>products</v>
      </c>
      <c r="D88" t="str">
        <f t="shared" si="8"/>
        <v>edp_consumer_dcs_consumer_dcs_dk_products_lz</v>
      </c>
    </row>
    <row r="89" spans="1:4" x14ac:dyDescent="0.25">
      <c r="A89" t="s">
        <v>270</v>
      </c>
      <c r="B89" t="str">
        <f t="shared" si="6"/>
        <v>lt</v>
      </c>
      <c r="C89" t="str">
        <f t="shared" si="7"/>
        <v>products</v>
      </c>
      <c r="D89" t="str">
        <f t="shared" si="8"/>
        <v>edp_consumer_dcs_consumer_dcs_lt_products_lz</v>
      </c>
    </row>
    <row r="90" spans="1:4" x14ac:dyDescent="0.25">
      <c r="A90" t="s">
        <v>317</v>
      </c>
      <c r="B90" t="str">
        <f t="shared" si="6"/>
        <v>ua</v>
      </c>
      <c r="C90" t="str">
        <f t="shared" si="7"/>
        <v>products</v>
      </c>
      <c r="D90" t="str">
        <f t="shared" si="8"/>
        <v>edp_consumer_dcs_consumer_dcs_ua_products_lz</v>
      </c>
    </row>
    <row r="91" spans="1:4" x14ac:dyDescent="0.25">
      <c r="A91" t="s">
        <v>328</v>
      </c>
      <c r="B91" t="str">
        <f t="shared" si="6"/>
        <v>il</v>
      </c>
      <c r="C91" t="str">
        <f t="shared" si="7"/>
        <v>products</v>
      </c>
      <c r="D91" t="str">
        <f t="shared" si="8"/>
        <v>edp_consumer_dcs_consumer_dcs_il_products_lz</v>
      </c>
    </row>
    <row r="92" spans="1:4" x14ac:dyDescent="0.25">
      <c r="A92" t="s">
        <v>334</v>
      </c>
      <c r="B92" t="str">
        <f t="shared" si="6"/>
        <v>ca</v>
      </c>
      <c r="C92" t="str">
        <f t="shared" si="7"/>
        <v>products</v>
      </c>
      <c r="D92" t="str">
        <f t="shared" si="8"/>
        <v>edp_consumer_dcs_consumer_dcs_ca_products_lz</v>
      </c>
    </row>
    <row r="93" spans="1:4" x14ac:dyDescent="0.25">
      <c r="A93" t="s">
        <v>344</v>
      </c>
      <c r="B93" t="str">
        <f t="shared" si="6"/>
        <v>nz</v>
      </c>
      <c r="C93" t="str">
        <f t="shared" si="7"/>
        <v>products</v>
      </c>
      <c r="D93" t="str">
        <f t="shared" si="8"/>
        <v>edp_consumer_dcs_consumer_dcs_nz_products_lz</v>
      </c>
    </row>
    <row r="94" spans="1:4" x14ac:dyDescent="0.25">
      <c r="A94" t="s">
        <v>347</v>
      </c>
      <c r="B94" t="str">
        <f t="shared" si="6"/>
        <v>au</v>
      </c>
      <c r="C94" t="str">
        <f t="shared" si="7"/>
        <v>products</v>
      </c>
      <c r="D94" t="str">
        <f t="shared" si="8"/>
        <v>edp_consumer_dcs_consumer_dcs_au_products_lz</v>
      </c>
    </row>
    <row r="95" spans="1:4" x14ac:dyDescent="0.25">
      <c r="A95" t="s">
        <v>350</v>
      </c>
      <c r="B95" t="str">
        <f t="shared" si="6"/>
        <v>nl</v>
      </c>
      <c r="C95" t="str">
        <f t="shared" si="7"/>
        <v>products</v>
      </c>
      <c r="D95" t="str">
        <f t="shared" si="8"/>
        <v>edp_consumer_dcs_consumer_dcs_nl_products_lz</v>
      </c>
    </row>
    <row r="96" spans="1:4" x14ac:dyDescent="0.25">
      <c r="A96" t="s">
        <v>363</v>
      </c>
      <c r="B96" t="str">
        <f t="shared" si="6"/>
        <v>se</v>
      </c>
      <c r="C96" t="str">
        <f t="shared" si="7"/>
        <v>products</v>
      </c>
      <c r="D96" t="str">
        <f t="shared" si="8"/>
        <v>edp_consumer_dcs_consumer_dcs_se_products_lz</v>
      </c>
    </row>
    <row r="97" spans="1:4" x14ac:dyDescent="0.25">
      <c r="A97" t="s">
        <v>366</v>
      </c>
      <c r="B97" t="str">
        <f t="shared" si="6"/>
        <v>ro</v>
      </c>
      <c r="C97" t="str">
        <f t="shared" si="7"/>
        <v>products</v>
      </c>
      <c r="D97" t="str">
        <f t="shared" si="8"/>
        <v>edp_consumer_dcs_consumer_dcs_ro_products_lz</v>
      </c>
    </row>
    <row r="98" spans="1:4" x14ac:dyDescent="0.25">
      <c r="A98" t="s">
        <v>406</v>
      </c>
      <c r="B98" t="str">
        <f t="shared" ref="B98:B129" si="9">TRIM(MID(SUBSTITUTE(D98, "_", REPT(" ", 100)), 5*100+1, 100))</f>
        <v>pt</v>
      </c>
      <c r="C98" t="str">
        <f t="shared" ref="C98:C129" si="10">TRIM(MID(SUBSTITUTE(A98, "_", REPT(" ", 100)), 6*100+1, 100))</f>
        <v>products</v>
      </c>
      <c r="D98" t="str">
        <f t="shared" ref="D98:D129" si="11">LEFT(A98, FIND(" •", A98)-1)</f>
        <v>edp_consumer_dcs_consumer_dcs_pt_products_lz</v>
      </c>
    </row>
    <row r="99" spans="1:4" x14ac:dyDescent="0.25">
      <c r="A99" t="s">
        <v>421</v>
      </c>
      <c r="B99" t="str">
        <f t="shared" si="9"/>
        <v>kz</v>
      </c>
      <c r="C99" t="str">
        <f t="shared" si="10"/>
        <v>products</v>
      </c>
      <c r="D99" t="str">
        <f t="shared" si="11"/>
        <v>edp_consumer_dcs_consumer_dcs_kz_products_lz</v>
      </c>
    </row>
    <row r="100" spans="1:4" x14ac:dyDescent="0.25">
      <c r="A100" t="s">
        <v>285</v>
      </c>
      <c r="B100" t="str">
        <f t="shared" si="9"/>
        <v>nz</v>
      </c>
      <c r="C100" t="str">
        <f t="shared" si="10"/>
        <v>profilefields</v>
      </c>
      <c r="D100" t="str">
        <f t="shared" si="11"/>
        <v>edp_consumer_dcs_consumer_dcs_nz_profilefields_lz</v>
      </c>
    </row>
    <row r="101" spans="1:4" x14ac:dyDescent="0.25">
      <c r="A101" t="s">
        <v>289</v>
      </c>
      <c r="B101" t="str">
        <f t="shared" si="9"/>
        <v>ua</v>
      </c>
      <c r="C101" t="str">
        <f t="shared" si="10"/>
        <v>profilefields</v>
      </c>
      <c r="D101" t="str">
        <f t="shared" si="11"/>
        <v>edp_consumer_dcs_consumer_dcs_ua_profilefields_lz</v>
      </c>
    </row>
    <row r="102" spans="1:4" x14ac:dyDescent="0.25">
      <c r="A102" t="s">
        <v>322</v>
      </c>
      <c r="B102" t="str">
        <f t="shared" si="9"/>
        <v>it</v>
      </c>
      <c r="C102" t="str">
        <f t="shared" si="10"/>
        <v>profilefields</v>
      </c>
      <c r="D102" t="str">
        <f t="shared" si="11"/>
        <v>edp_consumer_dcs_consumer_dcs_it_profilefields_lz</v>
      </c>
    </row>
    <row r="103" spans="1:4" x14ac:dyDescent="0.25">
      <c r="A103" t="s">
        <v>332</v>
      </c>
      <c r="B103" t="str">
        <f t="shared" si="9"/>
        <v>au</v>
      </c>
      <c r="C103" t="str">
        <f t="shared" si="10"/>
        <v>profilefields</v>
      </c>
      <c r="D103" t="str">
        <f t="shared" si="11"/>
        <v>edp_consumer_dcs_consumer_dcs_au_profilefields_lz</v>
      </c>
    </row>
    <row r="104" spans="1:4" x14ac:dyDescent="0.25">
      <c r="A104" t="s">
        <v>348</v>
      </c>
      <c r="B104" t="str">
        <f t="shared" si="9"/>
        <v>il</v>
      </c>
      <c r="C104" t="str">
        <f t="shared" si="10"/>
        <v>profilefields</v>
      </c>
      <c r="D104" t="str">
        <f t="shared" si="11"/>
        <v>edp_consumer_dcs_consumer_dcs_il_profilefields_lz</v>
      </c>
    </row>
    <row r="105" spans="1:4" x14ac:dyDescent="0.25">
      <c r="A105" t="s">
        <v>371</v>
      </c>
      <c r="B105" t="str">
        <f t="shared" si="9"/>
        <v>kz</v>
      </c>
      <c r="C105" t="str">
        <f t="shared" si="10"/>
        <v>profilefields</v>
      </c>
      <c r="D105" t="str">
        <f t="shared" si="11"/>
        <v>edp_consumer_dcs_consumer_dcs_kz_profilefields_lz</v>
      </c>
    </row>
    <row r="106" spans="1:4" x14ac:dyDescent="0.25">
      <c r="A106" t="s">
        <v>376</v>
      </c>
      <c r="B106" t="str">
        <f t="shared" si="9"/>
        <v>pt</v>
      </c>
      <c r="C106" t="str">
        <f t="shared" si="10"/>
        <v>profilefields</v>
      </c>
      <c r="D106" t="str">
        <f t="shared" si="11"/>
        <v>edp_consumer_dcs_consumer_dcs_pt_profilefields_lz</v>
      </c>
    </row>
    <row r="107" spans="1:4" x14ac:dyDescent="0.25">
      <c r="A107" t="s">
        <v>378</v>
      </c>
      <c r="B107" t="str">
        <f t="shared" si="9"/>
        <v>se</v>
      </c>
      <c r="C107" t="str">
        <f t="shared" si="10"/>
        <v>profilefields</v>
      </c>
      <c r="D107" t="str">
        <f t="shared" si="11"/>
        <v>edp_consumer_dcs_consumer_dcs_se_profilefields_lz</v>
      </c>
    </row>
    <row r="108" spans="1:4" x14ac:dyDescent="0.25">
      <c r="A108" t="s">
        <v>386</v>
      </c>
      <c r="B108" t="str">
        <f t="shared" si="9"/>
        <v>lt</v>
      </c>
      <c r="C108" t="str">
        <f t="shared" si="10"/>
        <v>profilefields</v>
      </c>
      <c r="D108" t="str">
        <f t="shared" si="11"/>
        <v>edp_consumer_dcs_consumer_dcs_lt_profilefields_lz</v>
      </c>
    </row>
    <row r="109" spans="1:4" x14ac:dyDescent="0.25">
      <c r="A109" t="s">
        <v>387</v>
      </c>
      <c r="B109" t="str">
        <f t="shared" si="9"/>
        <v>gr</v>
      </c>
      <c r="C109" t="str">
        <f t="shared" si="10"/>
        <v>profilefields</v>
      </c>
      <c r="D109" t="str">
        <f t="shared" si="11"/>
        <v>edp_consumer_dcs_consumer_dcs_gr_profilefields_lz</v>
      </c>
    </row>
    <row r="110" spans="1:4" x14ac:dyDescent="0.25">
      <c r="A110" t="s">
        <v>392</v>
      </c>
      <c r="B110" t="str">
        <f t="shared" si="9"/>
        <v>dk</v>
      </c>
      <c r="C110" t="str">
        <f t="shared" si="10"/>
        <v>profilefields</v>
      </c>
      <c r="D110" t="str">
        <f t="shared" si="11"/>
        <v>edp_consumer_dcs_consumer_dcs_dk_profilefields_lz</v>
      </c>
    </row>
    <row r="111" spans="1:4" x14ac:dyDescent="0.25">
      <c r="A111" t="s">
        <v>397</v>
      </c>
      <c r="B111" t="str">
        <f t="shared" si="9"/>
        <v>ca</v>
      </c>
      <c r="C111" t="str">
        <f t="shared" si="10"/>
        <v>profilefields</v>
      </c>
      <c r="D111" t="str">
        <f t="shared" si="11"/>
        <v>edp_consumer_dcs_consumer_dcs_ca_profilefields_lz</v>
      </c>
    </row>
    <row r="112" spans="1:4" x14ac:dyDescent="0.25">
      <c r="A112" t="s">
        <v>415</v>
      </c>
      <c r="B112" t="str">
        <f t="shared" si="9"/>
        <v>ro</v>
      </c>
      <c r="C112" t="str">
        <f t="shared" si="10"/>
        <v>profilefields</v>
      </c>
      <c r="D112" t="str">
        <f t="shared" si="11"/>
        <v>edp_consumer_dcs_consumer_dcs_ro_profilefields_lz</v>
      </c>
    </row>
    <row r="113" spans="1:4" x14ac:dyDescent="0.25">
      <c r="A113" t="s">
        <v>428</v>
      </c>
      <c r="B113" t="str">
        <f t="shared" si="9"/>
        <v>nl</v>
      </c>
      <c r="C113" t="str">
        <f t="shared" si="10"/>
        <v>profilefields</v>
      </c>
      <c r="D113" t="str">
        <f t="shared" si="11"/>
        <v>edp_consumer_dcs_consumer_dcs_nl_profilefields_lz</v>
      </c>
    </row>
    <row r="114" spans="1:4" x14ac:dyDescent="0.25">
      <c r="A114" t="s">
        <v>248</v>
      </c>
      <c r="B114" t="str">
        <f t="shared" si="9"/>
        <v>se</v>
      </c>
      <c r="C114" t="str">
        <f t="shared" si="10"/>
        <v>promotions</v>
      </c>
      <c r="D114" t="str">
        <f t="shared" si="11"/>
        <v>edp_consumer_dcs_consumer_dcs_se_promotions_lz</v>
      </c>
    </row>
    <row r="115" spans="1:4" x14ac:dyDescent="0.25">
      <c r="A115" t="s">
        <v>251</v>
      </c>
      <c r="B115" t="str">
        <f t="shared" si="9"/>
        <v>ro</v>
      </c>
      <c r="C115" t="str">
        <f t="shared" si="10"/>
        <v>promotions</v>
      </c>
      <c r="D115" t="str">
        <f t="shared" si="11"/>
        <v>edp_consumer_dcs_consumer_dcs_ro_promotions_lz</v>
      </c>
    </row>
    <row r="116" spans="1:4" x14ac:dyDescent="0.25">
      <c r="A116" t="s">
        <v>259</v>
      </c>
      <c r="B116" t="str">
        <f t="shared" si="9"/>
        <v>lt</v>
      </c>
      <c r="C116" t="str">
        <f t="shared" si="10"/>
        <v>promotions</v>
      </c>
      <c r="D116" t="str">
        <f t="shared" si="11"/>
        <v>edp_consumer_dcs_consumer_dcs_lt_promotions_lz</v>
      </c>
    </row>
    <row r="117" spans="1:4" x14ac:dyDescent="0.25">
      <c r="A117" t="s">
        <v>260</v>
      </c>
      <c r="B117" t="str">
        <f t="shared" si="9"/>
        <v>gr</v>
      </c>
      <c r="C117" t="str">
        <f t="shared" si="10"/>
        <v>promotions</v>
      </c>
      <c r="D117" t="str">
        <f t="shared" si="11"/>
        <v>edp_consumer_dcs_consumer_dcs_gr_promotions_lz</v>
      </c>
    </row>
    <row r="118" spans="1:4" x14ac:dyDescent="0.25">
      <c r="A118" t="s">
        <v>274</v>
      </c>
      <c r="B118" t="str">
        <f t="shared" si="9"/>
        <v>ca</v>
      </c>
      <c r="C118" t="str">
        <f t="shared" si="10"/>
        <v>promotions</v>
      </c>
      <c r="D118" t="str">
        <f t="shared" si="11"/>
        <v>edp_consumer_dcs_consumer_dcs_ca_promotions_lz</v>
      </c>
    </row>
    <row r="119" spans="1:4" x14ac:dyDescent="0.25">
      <c r="A119" t="s">
        <v>281</v>
      </c>
      <c r="B119" t="str">
        <f t="shared" si="9"/>
        <v>il</v>
      </c>
      <c r="C119" t="str">
        <f t="shared" si="10"/>
        <v>promotions</v>
      </c>
      <c r="D119" t="str">
        <f t="shared" si="11"/>
        <v>edp_consumer_dcs_consumer_dcs_il_promotions_lz</v>
      </c>
    </row>
    <row r="120" spans="1:4" x14ac:dyDescent="0.25">
      <c r="A120" t="s">
        <v>290</v>
      </c>
      <c r="B120" t="str">
        <f t="shared" si="9"/>
        <v>ua</v>
      </c>
      <c r="C120" t="str">
        <f t="shared" si="10"/>
        <v>promotions</v>
      </c>
      <c r="D120" t="str">
        <f t="shared" si="11"/>
        <v>edp_consumer_dcs_consumer_dcs_ua_promotions_lz</v>
      </c>
    </row>
    <row r="121" spans="1:4" x14ac:dyDescent="0.25">
      <c r="A121" t="s">
        <v>352</v>
      </c>
      <c r="B121" t="str">
        <f t="shared" si="9"/>
        <v>nl</v>
      </c>
      <c r="C121" t="str">
        <f t="shared" si="10"/>
        <v>promotions</v>
      </c>
      <c r="D121" t="str">
        <f t="shared" si="11"/>
        <v>edp_consumer_dcs_consumer_dcs_nl_promotions_lz</v>
      </c>
    </row>
    <row r="122" spans="1:4" x14ac:dyDescent="0.25">
      <c r="A122" t="s">
        <v>355</v>
      </c>
      <c r="B122" t="str">
        <f t="shared" si="9"/>
        <v>au</v>
      </c>
      <c r="C122" t="str">
        <f t="shared" si="10"/>
        <v>promotions</v>
      </c>
      <c r="D122" t="str">
        <f t="shared" si="11"/>
        <v>edp_consumer_dcs_consumer_dcs_au_promotions_lz</v>
      </c>
    </row>
    <row r="123" spans="1:4" x14ac:dyDescent="0.25">
      <c r="A123" t="s">
        <v>365</v>
      </c>
      <c r="B123" t="str">
        <f t="shared" si="9"/>
        <v>kz</v>
      </c>
      <c r="C123" t="str">
        <f t="shared" si="10"/>
        <v>promotions</v>
      </c>
      <c r="D123" t="str">
        <f t="shared" si="11"/>
        <v>edp_consumer_dcs_consumer_dcs_kz_promotions_lz</v>
      </c>
    </row>
    <row r="124" spans="1:4" x14ac:dyDescent="0.25">
      <c r="A124" t="s">
        <v>375</v>
      </c>
      <c r="B124" t="str">
        <f t="shared" si="9"/>
        <v>dk</v>
      </c>
      <c r="C124" t="str">
        <f t="shared" si="10"/>
        <v>promotions</v>
      </c>
      <c r="D124" t="str">
        <f t="shared" si="11"/>
        <v>edp_consumer_dcs_consumer_dcs_dk_promotions_lz</v>
      </c>
    </row>
    <row r="125" spans="1:4" x14ac:dyDescent="0.25">
      <c r="A125" t="s">
        <v>403</v>
      </c>
      <c r="B125" t="str">
        <f t="shared" si="9"/>
        <v>pt</v>
      </c>
      <c r="C125" t="str">
        <f t="shared" si="10"/>
        <v>promotions</v>
      </c>
      <c r="D125" t="str">
        <f t="shared" si="11"/>
        <v>edp_consumer_dcs_consumer_dcs_pt_promotions_lz</v>
      </c>
    </row>
    <row r="126" spans="1:4" x14ac:dyDescent="0.25">
      <c r="A126" t="s">
        <v>410</v>
      </c>
      <c r="B126" t="str">
        <f t="shared" si="9"/>
        <v>nz</v>
      </c>
      <c r="C126" t="str">
        <f t="shared" si="10"/>
        <v>promotions</v>
      </c>
      <c r="D126" t="str">
        <f t="shared" si="11"/>
        <v>edp_consumer_dcs_consumer_dcs_nz_promotions_lz</v>
      </c>
    </row>
    <row r="127" spans="1:4" x14ac:dyDescent="0.25">
      <c r="A127" t="s">
        <v>420</v>
      </c>
      <c r="B127" t="str">
        <f t="shared" si="9"/>
        <v>it</v>
      </c>
      <c r="C127" t="str">
        <f t="shared" si="10"/>
        <v>promotions</v>
      </c>
      <c r="D127" t="str">
        <f t="shared" si="11"/>
        <v>edp_consumer_dcs_consumer_dcs_it_promotions_lz</v>
      </c>
    </row>
    <row r="128" spans="1:4" x14ac:dyDescent="0.25">
      <c r="A128" t="s">
        <v>256</v>
      </c>
      <c r="B128" t="str">
        <f t="shared" si="9"/>
        <v>nz</v>
      </c>
      <c r="C128" t="str">
        <f t="shared" si="10"/>
        <v>referralcodepergodfather</v>
      </c>
      <c r="D128" t="str">
        <f t="shared" si="11"/>
        <v>edp_consumer_dcs_consumer_dcs_nz_referralcodepergodfather_lz</v>
      </c>
    </row>
    <row r="129" spans="1:4" x14ac:dyDescent="0.25">
      <c r="A129" t="s">
        <v>266</v>
      </c>
      <c r="B129" t="str">
        <f t="shared" si="9"/>
        <v>au</v>
      </c>
      <c r="C129" t="str">
        <f t="shared" si="10"/>
        <v>referralcodepergodfather</v>
      </c>
      <c r="D129" t="str">
        <f t="shared" si="11"/>
        <v>edp_consumer_dcs_consumer_dcs_au_referralcodepergodfather_lz</v>
      </c>
    </row>
    <row r="130" spans="1:4" x14ac:dyDescent="0.25">
      <c r="A130" t="s">
        <v>272</v>
      </c>
      <c r="B130" t="str">
        <f t="shared" ref="B130:B161" si="12">TRIM(MID(SUBSTITUTE(D130, "_", REPT(" ", 100)), 5*100+1, 100))</f>
        <v>lt</v>
      </c>
      <c r="C130" t="str">
        <f t="shared" ref="C130:C161" si="13">TRIM(MID(SUBSTITUTE(A130, "_", REPT(" ", 100)), 6*100+1, 100))</f>
        <v>referralcodepergodfather</v>
      </c>
      <c r="D130" t="str">
        <f t="shared" ref="D130:D161" si="14">LEFT(A130, FIND(" •", A130)-1)</f>
        <v>edp_consumer_dcs_consumer_dcs_lt_referralcodepergodfather_lz</v>
      </c>
    </row>
    <row r="131" spans="1:4" x14ac:dyDescent="0.25">
      <c r="A131" t="s">
        <v>278</v>
      </c>
      <c r="B131" t="str">
        <f t="shared" si="12"/>
        <v>it</v>
      </c>
      <c r="C131" t="str">
        <f t="shared" si="13"/>
        <v>referralcodepergodfather</v>
      </c>
      <c r="D131" t="str">
        <f t="shared" si="14"/>
        <v>edp_consumer_dcs_consumer_dcs_it_referralcodepergodfather_lz</v>
      </c>
    </row>
    <row r="132" spans="1:4" x14ac:dyDescent="0.25">
      <c r="A132" t="s">
        <v>280</v>
      </c>
      <c r="B132" t="str">
        <f t="shared" si="12"/>
        <v>ro</v>
      </c>
      <c r="C132" t="str">
        <f t="shared" si="13"/>
        <v>referralcodepergodfather</v>
      </c>
      <c r="D132" t="str">
        <f t="shared" si="14"/>
        <v>edp_consumer_dcs_consumer_dcs_ro_referralcodepergodfather_lz</v>
      </c>
    </row>
    <row r="133" spans="1:4" x14ac:dyDescent="0.25">
      <c r="A133" t="s">
        <v>296</v>
      </c>
      <c r="B133" t="str">
        <f t="shared" si="12"/>
        <v>il</v>
      </c>
      <c r="C133" t="str">
        <f t="shared" si="13"/>
        <v>referralcodepergodfather</v>
      </c>
      <c r="D133" t="str">
        <f t="shared" si="14"/>
        <v>edp_consumer_dcs_consumer_dcs_il_referralcodepergodfather_lz</v>
      </c>
    </row>
    <row r="134" spans="1:4" x14ac:dyDescent="0.25">
      <c r="A134" t="s">
        <v>303</v>
      </c>
      <c r="B134" t="str">
        <f t="shared" si="12"/>
        <v>kz</v>
      </c>
      <c r="C134" t="str">
        <f t="shared" si="13"/>
        <v>referralcodepergodfather</v>
      </c>
      <c r="D134" t="str">
        <f t="shared" si="14"/>
        <v>edp_consumer_dcs_consumer_dcs_kz_referralcodepergodfather_lz</v>
      </c>
    </row>
    <row r="135" spans="1:4" x14ac:dyDescent="0.25">
      <c r="A135" t="s">
        <v>343</v>
      </c>
      <c r="B135" t="str">
        <f t="shared" si="12"/>
        <v>pt</v>
      </c>
      <c r="C135" t="str">
        <f t="shared" si="13"/>
        <v>referralcodepergodfather</v>
      </c>
      <c r="D135" t="str">
        <f t="shared" si="14"/>
        <v>edp_consumer_dcs_consumer_dcs_pt_referralcodepergodfather_lz</v>
      </c>
    </row>
    <row r="136" spans="1:4" x14ac:dyDescent="0.25">
      <c r="A136" t="s">
        <v>345</v>
      </c>
      <c r="B136" t="str">
        <f t="shared" si="12"/>
        <v>dk</v>
      </c>
      <c r="C136" t="str">
        <f t="shared" si="13"/>
        <v>referralcodepergodfather</v>
      </c>
      <c r="D136" t="str">
        <f t="shared" si="14"/>
        <v>edp_consumer_dcs_consumer_dcs_dk_referralcodepergodfather_lz</v>
      </c>
    </row>
    <row r="137" spans="1:4" x14ac:dyDescent="0.25">
      <c r="A137" t="s">
        <v>379</v>
      </c>
      <c r="B137" t="str">
        <f t="shared" si="12"/>
        <v>se</v>
      </c>
      <c r="C137" t="str">
        <f t="shared" si="13"/>
        <v>referralcodepergodfather</v>
      </c>
      <c r="D137" t="str">
        <f t="shared" si="14"/>
        <v>edp_consumer_dcs_consumer_dcs_se_referralcodepergodfather_lz</v>
      </c>
    </row>
    <row r="138" spans="1:4" x14ac:dyDescent="0.25">
      <c r="A138" t="s">
        <v>391</v>
      </c>
      <c r="B138" t="str">
        <f t="shared" si="12"/>
        <v>ca</v>
      </c>
      <c r="C138" t="str">
        <f t="shared" si="13"/>
        <v>referralcodepergodfather</v>
      </c>
      <c r="D138" t="str">
        <f t="shared" si="14"/>
        <v>edp_consumer_dcs_consumer_dcs_ca_referralcodepergodfather_lz</v>
      </c>
    </row>
    <row r="139" spans="1:4" x14ac:dyDescent="0.25">
      <c r="A139" t="s">
        <v>405</v>
      </c>
      <c r="B139" t="str">
        <f t="shared" si="12"/>
        <v>ua</v>
      </c>
      <c r="C139" t="str">
        <f t="shared" si="13"/>
        <v>referralcodepergodfather</v>
      </c>
      <c r="D139" t="str">
        <f t="shared" si="14"/>
        <v>edp_consumer_dcs_consumer_dcs_ua_referralcodepergodfather_lz</v>
      </c>
    </row>
    <row r="140" spans="1:4" x14ac:dyDescent="0.25">
      <c r="A140" t="s">
        <v>408</v>
      </c>
      <c r="B140" t="str">
        <f t="shared" si="12"/>
        <v>gr</v>
      </c>
      <c r="C140" t="str">
        <f t="shared" si="13"/>
        <v>referralcodepergodfather</v>
      </c>
      <c r="D140" t="str">
        <f t="shared" si="14"/>
        <v>edp_consumer_dcs_consumer_dcs_gr_referralcodepergodfather_lz</v>
      </c>
    </row>
    <row r="141" spans="1:4" x14ac:dyDescent="0.25">
      <c r="A141" t="s">
        <v>411</v>
      </c>
      <c r="B141" t="str">
        <f t="shared" si="12"/>
        <v>nl</v>
      </c>
      <c r="C141" t="str">
        <f t="shared" si="13"/>
        <v>referralcodepergodfather</v>
      </c>
      <c r="D141" t="str">
        <f t="shared" si="14"/>
        <v>edp_consumer_dcs_consumer_dcs_nl_referralcodepergodfather_lz</v>
      </c>
    </row>
    <row r="142" spans="1:4" x14ac:dyDescent="0.25">
      <c r="A142" t="s">
        <v>250</v>
      </c>
      <c r="B142" t="str">
        <f t="shared" si="12"/>
        <v>pt</v>
      </c>
      <c r="C142" t="str">
        <f t="shared" si="13"/>
        <v>seasurveys</v>
      </c>
      <c r="D142" t="str">
        <f t="shared" si="14"/>
        <v>edp_consumer_dcs_consumer_dcs_pt_seasurveys_lz</v>
      </c>
    </row>
    <row r="143" spans="1:4" x14ac:dyDescent="0.25">
      <c r="A143" t="s">
        <v>267</v>
      </c>
      <c r="B143" t="str">
        <f t="shared" si="12"/>
        <v>se</v>
      </c>
      <c r="C143" t="str">
        <f t="shared" si="13"/>
        <v>seasurveys</v>
      </c>
      <c r="D143" t="str">
        <f t="shared" si="14"/>
        <v>edp_consumer_dcs_consumer_dcs_se_seasurveys_lz</v>
      </c>
    </row>
    <row r="144" spans="1:4" x14ac:dyDescent="0.25">
      <c r="A144" t="s">
        <v>293</v>
      </c>
      <c r="B144" t="str">
        <f t="shared" si="12"/>
        <v>nl</v>
      </c>
      <c r="C144" t="str">
        <f t="shared" si="13"/>
        <v>seasurveys</v>
      </c>
      <c r="D144" t="str">
        <f t="shared" si="14"/>
        <v>edp_consumer_dcs_consumer_dcs_nl_seasurveys_lz</v>
      </c>
    </row>
    <row r="145" spans="1:4" x14ac:dyDescent="0.25">
      <c r="A145" t="s">
        <v>307</v>
      </c>
      <c r="B145" t="str">
        <f t="shared" si="12"/>
        <v>gr</v>
      </c>
      <c r="C145" t="str">
        <f t="shared" si="13"/>
        <v>seasurveys</v>
      </c>
      <c r="D145" t="str">
        <f t="shared" si="14"/>
        <v>edp_consumer_dcs_consumer_dcs_gr_seasurveys_lz</v>
      </c>
    </row>
    <row r="146" spans="1:4" x14ac:dyDescent="0.25">
      <c r="A146" t="s">
        <v>320</v>
      </c>
      <c r="B146" t="str">
        <f t="shared" si="12"/>
        <v>lt</v>
      </c>
      <c r="C146" t="str">
        <f t="shared" si="13"/>
        <v>seasurveys</v>
      </c>
      <c r="D146" t="str">
        <f t="shared" si="14"/>
        <v>edp_consumer_dcs_consumer_dcs_lt_seasurveys_lz</v>
      </c>
    </row>
    <row r="147" spans="1:4" x14ac:dyDescent="0.25">
      <c r="A147" t="s">
        <v>341</v>
      </c>
      <c r="B147" t="str">
        <f t="shared" si="12"/>
        <v>nz</v>
      </c>
      <c r="C147" t="str">
        <f t="shared" si="13"/>
        <v>seasurveys</v>
      </c>
      <c r="D147" t="str">
        <f t="shared" si="14"/>
        <v>edp_consumer_dcs_consumer_dcs_nz_seasurveys_lz</v>
      </c>
    </row>
    <row r="148" spans="1:4" x14ac:dyDescent="0.25">
      <c r="A148" t="s">
        <v>357</v>
      </c>
      <c r="B148" t="str">
        <f t="shared" si="12"/>
        <v>ca</v>
      </c>
      <c r="C148" t="str">
        <f t="shared" si="13"/>
        <v>seasurveys</v>
      </c>
      <c r="D148" t="str">
        <f t="shared" si="14"/>
        <v>edp_consumer_dcs_consumer_dcs_ca_seasurveys_lz</v>
      </c>
    </row>
    <row r="149" spans="1:4" x14ac:dyDescent="0.25">
      <c r="A149" t="s">
        <v>360</v>
      </c>
      <c r="B149" t="str">
        <f t="shared" si="12"/>
        <v>dk</v>
      </c>
      <c r="C149" t="str">
        <f t="shared" si="13"/>
        <v>seasurveys</v>
      </c>
      <c r="D149" t="str">
        <f t="shared" si="14"/>
        <v>edp_consumer_dcs_consumer_dcs_dk_seasurveys_lz</v>
      </c>
    </row>
    <row r="150" spans="1:4" x14ac:dyDescent="0.25">
      <c r="A150" t="s">
        <v>369</v>
      </c>
      <c r="B150" t="str">
        <f t="shared" si="12"/>
        <v>ro</v>
      </c>
      <c r="C150" t="str">
        <f t="shared" si="13"/>
        <v>seasurveys</v>
      </c>
      <c r="D150" t="str">
        <f t="shared" si="14"/>
        <v>edp_consumer_dcs_consumer_dcs_ro_seasurveys_lz</v>
      </c>
    </row>
    <row r="151" spans="1:4" x14ac:dyDescent="0.25">
      <c r="A151" t="s">
        <v>380</v>
      </c>
      <c r="B151" t="str">
        <f t="shared" si="12"/>
        <v>kz</v>
      </c>
      <c r="C151" t="str">
        <f t="shared" si="13"/>
        <v>seasurveys</v>
      </c>
      <c r="D151" t="str">
        <f t="shared" si="14"/>
        <v>edp_consumer_dcs_consumer_dcs_kz_seasurveys_lz</v>
      </c>
    </row>
    <row r="152" spans="1:4" x14ac:dyDescent="0.25">
      <c r="A152" t="s">
        <v>382</v>
      </c>
      <c r="B152" t="str">
        <f t="shared" si="12"/>
        <v>ua</v>
      </c>
      <c r="C152" t="str">
        <f t="shared" si="13"/>
        <v>seasurveys</v>
      </c>
      <c r="D152" t="str">
        <f t="shared" si="14"/>
        <v>edp_consumer_dcs_consumer_dcs_ua_seasurveys_lz</v>
      </c>
    </row>
    <row r="153" spans="1:4" x14ac:dyDescent="0.25">
      <c r="A153" t="s">
        <v>393</v>
      </c>
      <c r="B153" t="str">
        <f t="shared" si="12"/>
        <v>au</v>
      </c>
      <c r="C153" t="str">
        <f t="shared" si="13"/>
        <v>seasurveys</v>
      </c>
      <c r="D153" t="str">
        <f t="shared" si="14"/>
        <v>edp_consumer_dcs_consumer_dcs_au_seasurveys_lz</v>
      </c>
    </row>
    <row r="154" spans="1:4" x14ac:dyDescent="0.25">
      <c r="A154" t="s">
        <v>401</v>
      </c>
      <c r="B154" t="str">
        <f t="shared" si="12"/>
        <v>il</v>
      </c>
      <c r="C154" t="str">
        <f t="shared" si="13"/>
        <v>seasurveys</v>
      </c>
      <c r="D154" t="str">
        <f t="shared" si="14"/>
        <v>edp_consumer_dcs_consumer_dcs_il_seasurveys_lz</v>
      </c>
    </row>
    <row r="155" spans="1:4" x14ac:dyDescent="0.25">
      <c r="A155" t="s">
        <v>418</v>
      </c>
      <c r="B155" t="str">
        <f t="shared" si="12"/>
        <v>it</v>
      </c>
      <c r="C155" t="str">
        <f t="shared" si="13"/>
        <v>seasurveys</v>
      </c>
      <c r="D155" t="str">
        <f t="shared" si="14"/>
        <v>edp_consumer_dcs_consumer_dcs_it_seasurveys_lz</v>
      </c>
    </row>
    <row r="156" spans="1:4" x14ac:dyDescent="0.25">
      <c r="A156" t="s">
        <v>253</v>
      </c>
      <c r="B156" t="str">
        <f t="shared" si="12"/>
        <v>lt</v>
      </c>
      <c r="C156" t="str">
        <f t="shared" si="13"/>
        <v>shipments</v>
      </c>
      <c r="D156" t="str">
        <f t="shared" si="14"/>
        <v>edp_consumer_dcs_consumer_dcs_lt_shipments_lz</v>
      </c>
    </row>
    <row r="157" spans="1:4" x14ac:dyDescent="0.25">
      <c r="A157" t="s">
        <v>275</v>
      </c>
      <c r="B157" t="str">
        <f t="shared" si="12"/>
        <v>ua</v>
      </c>
      <c r="C157" t="str">
        <f t="shared" si="13"/>
        <v>shipments</v>
      </c>
      <c r="D157" t="str">
        <f t="shared" si="14"/>
        <v>edp_consumer_dcs_consumer_dcs_ua_shipments_lz</v>
      </c>
    </row>
    <row r="158" spans="1:4" x14ac:dyDescent="0.25">
      <c r="A158" t="s">
        <v>277</v>
      </c>
      <c r="B158" t="str">
        <f t="shared" si="12"/>
        <v>it</v>
      </c>
      <c r="C158" t="str">
        <f t="shared" si="13"/>
        <v>shipments</v>
      </c>
      <c r="D158" t="str">
        <f t="shared" si="14"/>
        <v>edp_consumer_dcs_consumer_dcs_it_shipments_lz</v>
      </c>
    </row>
    <row r="159" spans="1:4" x14ac:dyDescent="0.25">
      <c r="A159" t="s">
        <v>282</v>
      </c>
      <c r="B159" t="str">
        <f t="shared" si="12"/>
        <v>ca</v>
      </c>
      <c r="C159" t="str">
        <f t="shared" si="13"/>
        <v>shipments</v>
      </c>
      <c r="D159" t="str">
        <f t="shared" si="14"/>
        <v>edp_consumer_dcs_consumer_dcs_ca_shipments_lz</v>
      </c>
    </row>
    <row r="160" spans="1:4" x14ac:dyDescent="0.25">
      <c r="A160" t="s">
        <v>301</v>
      </c>
      <c r="B160" t="str">
        <f t="shared" si="12"/>
        <v>nl</v>
      </c>
      <c r="C160" t="str">
        <f t="shared" si="13"/>
        <v>shipments</v>
      </c>
      <c r="D160" t="str">
        <f t="shared" si="14"/>
        <v>edp_consumer_dcs_consumer_dcs_nl_shipments_lz</v>
      </c>
    </row>
    <row r="161" spans="1:4" x14ac:dyDescent="0.25">
      <c r="A161" t="s">
        <v>306</v>
      </c>
      <c r="B161" t="str">
        <f t="shared" si="12"/>
        <v>kz</v>
      </c>
      <c r="C161" t="str">
        <f t="shared" si="13"/>
        <v>shipments</v>
      </c>
      <c r="D161" t="str">
        <f t="shared" si="14"/>
        <v>edp_consumer_dcs_consumer_dcs_kz_shipments_lz</v>
      </c>
    </row>
    <row r="162" spans="1:4" x14ac:dyDescent="0.25">
      <c r="A162" t="s">
        <v>310</v>
      </c>
      <c r="B162" t="str">
        <f t="shared" ref="B162:B197" si="15">TRIM(MID(SUBSTITUTE(D162, "_", REPT(" ", 100)), 5*100+1, 100))</f>
        <v>dk</v>
      </c>
      <c r="C162" t="str">
        <f t="shared" ref="C162:C197" si="16">TRIM(MID(SUBSTITUTE(A162, "_", REPT(" ", 100)), 6*100+1, 100))</f>
        <v>shipments</v>
      </c>
      <c r="D162" t="str">
        <f t="shared" ref="D162:D197" si="17">LEFT(A162, FIND(" •", A162)-1)</f>
        <v>edp_consumer_dcs_consumer_dcs_dk_shipments_lz</v>
      </c>
    </row>
    <row r="163" spans="1:4" x14ac:dyDescent="0.25">
      <c r="A163" t="s">
        <v>312</v>
      </c>
      <c r="B163" t="str">
        <f t="shared" si="15"/>
        <v>pt</v>
      </c>
      <c r="C163" t="str">
        <f t="shared" si="16"/>
        <v>shipments</v>
      </c>
      <c r="D163" t="str">
        <f t="shared" si="17"/>
        <v>edp_consumer_dcs_consumer_dcs_pt_shipments_lz</v>
      </c>
    </row>
    <row r="164" spans="1:4" x14ac:dyDescent="0.25">
      <c r="A164" t="s">
        <v>353</v>
      </c>
      <c r="B164" t="str">
        <f t="shared" si="15"/>
        <v>gr</v>
      </c>
      <c r="C164" t="str">
        <f t="shared" si="16"/>
        <v>shipments</v>
      </c>
      <c r="D164" t="str">
        <f t="shared" si="17"/>
        <v>edp_consumer_dcs_consumer_dcs_gr_shipments_lz</v>
      </c>
    </row>
    <row r="165" spans="1:4" x14ac:dyDescent="0.25">
      <c r="A165" t="s">
        <v>358</v>
      </c>
      <c r="B165" t="str">
        <f t="shared" si="15"/>
        <v>au</v>
      </c>
      <c r="C165" t="str">
        <f t="shared" si="16"/>
        <v>shipments</v>
      </c>
      <c r="D165" t="str">
        <f t="shared" si="17"/>
        <v>edp_consumer_dcs_consumer_dcs_au_shipments_lz</v>
      </c>
    </row>
    <row r="166" spans="1:4" x14ac:dyDescent="0.25">
      <c r="A166" t="s">
        <v>374</v>
      </c>
      <c r="B166" t="str">
        <f t="shared" si="15"/>
        <v>nz</v>
      </c>
      <c r="C166" t="str">
        <f t="shared" si="16"/>
        <v>shipments</v>
      </c>
      <c r="D166" t="str">
        <f t="shared" si="17"/>
        <v>edp_consumer_dcs_consumer_dcs_nz_shipments_lz</v>
      </c>
    </row>
    <row r="167" spans="1:4" x14ac:dyDescent="0.25">
      <c r="A167" t="s">
        <v>402</v>
      </c>
      <c r="B167" t="str">
        <f t="shared" si="15"/>
        <v>se</v>
      </c>
      <c r="C167" t="str">
        <f t="shared" si="16"/>
        <v>shipments</v>
      </c>
      <c r="D167" t="str">
        <f t="shared" si="17"/>
        <v>edp_consumer_dcs_consumer_dcs_se_shipments_lz</v>
      </c>
    </row>
    <row r="168" spans="1:4" x14ac:dyDescent="0.25">
      <c r="A168" t="s">
        <v>413</v>
      </c>
      <c r="B168" t="str">
        <f t="shared" si="15"/>
        <v>il</v>
      </c>
      <c r="C168" t="str">
        <f t="shared" si="16"/>
        <v>shipments</v>
      </c>
      <c r="D168" t="str">
        <f t="shared" si="17"/>
        <v>edp_consumer_dcs_consumer_dcs_il_shipments_lz</v>
      </c>
    </row>
    <row r="169" spans="1:4" x14ac:dyDescent="0.25">
      <c r="A169" t="s">
        <v>419</v>
      </c>
      <c r="B169" t="str">
        <f t="shared" si="15"/>
        <v>ro</v>
      </c>
      <c r="C169" t="str">
        <f t="shared" si="16"/>
        <v>shipments</v>
      </c>
      <c r="D169" t="str">
        <f t="shared" si="17"/>
        <v>edp_consumer_dcs_consumer_dcs_ro_shipments_lz</v>
      </c>
    </row>
    <row r="170" spans="1:4" x14ac:dyDescent="0.25">
      <c r="A170" t="s">
        <v>261</v>
      </c>
      <c r="B170" t="str">
        <f t="shared" si="15"/>
        <v>it</v>
      </c>
      <c r="C170" t="str">
        <f t="shared" si="16"/>
        <v>spendings</v>
      </c>
      <c r="D170" t="str">
        <f t="shared" si="17"/>
        <v>edp_consumer_dcs_consumer_dcs_it_spendings_lz</v>
      </c>
    </row>
    <row r="171" spans="1:4" x14ac:dyDescent="0.25">
      <c r="A171" t="s">
        <v>269</v>
      </c>
      <c r="B171" t="str">
        <f t="shared" si="15"/>
        <v>au</v>
      </c>
      <c r="C171" t="str">
        <f t="shared" si="16"/>
        <v>spendings</v>
      </c>
      <c r="D171" t="str">
        <f t="shared" si="17"/>
        <v>edp_consumer_dcs_consumer_dcs_au_spendings_lz</v>
      </c>
    </row>
    <row r="172" spans="1:4" x14ac:dyDescent="0.25">
      <c r="A172" t="s">
        <v>305</v>
      </c>
      <c r="B172" t="str">
        <f t="shared" si="15"/>
        <v>nz</v>
      </c>
      <c r="C172" t="str">
        <f t="shared" si="16"/>
        <v>spendings</v>
      </c>
      <c r="D172" t="str">
        <f t="shared" si="17"/>
        <v>edp_consumer_dcs_consumer_dcs_nz_spendings_lz</v>
      </c>
    </row>
    <row r="173" spans="1:4" x14ac:dyDescent="0.25">
      <c r="A173" t="s">
        <v>313</v>
      </c>
      <c r="B173" t="str">
        <f t="shared" si="15"/>
        <v>dk</v>
      </c>
      <c r="C173" t="str">
        <f t="shared" si="16"/>
        <v>spendings</v>
      </c>
      <c r="D173" t="str">
        <f t="shared" si="17"/>
        <v>edp_consumer_dcs_consumer_dcs_dk_spendings_lz</v>
      </c>
    </row>
    <row r="174" spans="1:4" x14ac:dyDescent="0.25">
      <c r="A174" t="s">
        <v>314</v>
      </c>
      <c r="B174" t="str">
        <f t="shared" si="15"/>
        <v>gr</v>
      </c>
      <c r="C174" t="str">
        <f t="shared" si="16"/>
        <v>spendings</v>
      </c>
      <c r="D174" t="str">
        <f t="shared" si="17"/>
        <v>edp_consumer_dcs_consumer_dcs_gr_spendings_lz</v>
      </c>
    </row>
    <row r="175" spans="1:4" x14ac:dyDescent="0.25">
      <c r="A175" t="s">
        <v>315</v>
      </c>
      <c r="B175" t="str">
        <f t="shared" si="15"/>
        <v>il</v>
      </c>
      <c r="C175" t="str">
        <f t="shared" si="16"/>
        <v>spendings</v>
      </c>
      <c r="D175" t="str">
        <f t="shared" si="17"/>
        <v>edp_consumer_dcs_consumer_dcs_il_spendings_lz</v>
      </c>
    </row>
    <row r="176" spans="1:4" x14ac:dyDescent="0.25">
      <c r="A176" t="s">
        <v>329</v>
      </c>
      <c r="B176" t="str">
        <f t="shared" si="15"/>
        <v>ua</v>
      </c>
      <c r="C176" t="str">
        <f t="shared" si="16"/>
        <v>spendings</v>
      </c>
      <c r="D176" t="str">
        <f t="shared" si="17"/>
        <v>edp_consumer_dcs_consumer_dcs_ua_spendings_lz</v>
      </c>
    </row>
    <row r="177" spans="1:4" x14ac:dyDescent="0.25">
      <c r="A177" t="s">
        <v>338</v>
      </c>
      <c r="B177" t="str">
        <f t="shared" si="15"/>
        <v>ro</v>
      </c>
      <c r="C177" t="str">
        <f t="shared" si="16"/>
        <v>spendings</v>
      </c>
      <c r="D177" t="str">
        <f t="shared" si="17"/>
        <v>edp_consumer_dcs_consumer_dcs_ro_spendings_lz</v>
      </c>
    </row>
    <row r="178" spans="1:4" x14ac:dyDescent="0.25">
      <c r="A178" t="s">
        <v>373</v>
      </c>
      <c r="B178" t="str">
        <f t="shared" si="15"/>
        <v>ca</v>
      </c>
      <c r="C178" t="str">
        <f t="shared" si="16"/>
        <v>spendings</v>
      </c>
      <c r="D178" t="str">
        <f t="shared" si="17"/>
        <v>edp_consumer_dcs_consumer_dcs_ca_spendings_lz</v>
      </c>
    </row>
    <row r="179" spans="1:4" x14ac:dyDescent="0.25">
      <c r="A179" t="s">
        <v>390</v>
      </c>
      <c r="B179" t="str">
        <f t="shared" si="15"/>
        <v>kz</v>
      </c>
      <c r="C179" t="str">
        <f t="shared" si="16"/>
        <v>spendings</v>
      </c>
      <c r="D179" t="str">
        <f t="shared" si="17"/>
        <v>edp_consumer_dcs_consumer_dcs_kz_spendings_lz</v>
      </c>
    </row>
    <row r="180" spans="1:4" x14ac:dyDescent="0.25">
      <c r="A180" t="s">
        <v>400</v>
      </c>
      <c r="B180" t="str">
        <f t="shared" si="15"/>
        <v>se</v>
      </c>
      <c r="C180" t="str">
        <f t="shared" si="16"/>
        <v>spendings</v>
      </c>
      <c r="D180" t="str">
        <f t="shared" si="17"/>
        <v>edp_consumer_dcs_consumer_dcs_se_spendings_lz</v>
      </c>
    </row>
    <row r="181" spans="1:4" x14ac:dyDescent="0.25">
      <c r="A181" t="s">
        <v>409</v>
      </c>
      <c r="B181" t="str">
        <f t="shared" si="15"/>
        <v>pt</v>
      </c>
      <c r="C181" t="str">
        <f t="shared" si="16"/>
        <v>spendings</v>
      </c>
      <c r="D181" t="str">
        <f t="shared" si="17"/>
        <v>edp_consumer_dcs_consumer_dcs_pt_spendings_lz</v>
      </c>
    </row>
    <row r="182" spans="1:4" x14ac:dyDescent="0.25">
      <c r="A182" t="s">
        <v>422</v>
      </c>
      <c r="B182" t="str">
        <f t="shared" si="15"/>
        <v>nl</v>
      </c>
      <c r="C182" t="str">
        <f t="shared" si="16"/>
        <v>spendings</v>
      </c>
      <c r="D182" t="str">
        <f t="shared" si="17"/>
        <v>edp_consumer_dcs_consumer_dcs_nl_spendings_lz</v>
      </c>
    </row>
    <row r="183" spans="1:4" x14ac:dyDescent="0.25">
      <c r="A183" t="s">
        <v>423</v>
      </c>
      <c r="B183" t="str">
        <f t="shared" si="15"/>
        <v>lt</v>
      </c>
      <c r="C183" t="str">
        <f t="shared" si="16"/>
        <v>spendings</v>
      </c>
      <c r="D183" t="str">
        <f t="shared" si="17"/>
        <v>edp_consumer_dcs_consumer_dcs_lt_spendings_lz</v>
      </c>
    </row>
    <row r="184" spans="1:4" x14ac:dyDescent="0.25">
      <c r="A184" t="s">
        <v>292</v>
      </c>
      <c r="B184" t="str">
        <f t="shared" si="15"/>
        <v>it</v>
      </c>
      <c r="C184" t="str">
        <f t="shared" si="16"/>
        <v>touchpoints</v>
      </c>
      <c r="D184" t="str">
        <f t="shared" si="17"/>
        <v>edp_consumer_dcs_consumer_dcs_it_touchpoints_lz</v>
      </c>
    </row>
    <row r="185" spans="1:4" x14ac:dyDescent="0.25">
      <c r="A185" t="s">
        <v>300</v>
      </c>
      <c r="B185" t="str">
        <f t="shared" si="15"/>
        <v>se</v>
      </c>
      <c r="C185" t="str">
        <f t="shared" si="16"/>
        <v>touchpoints</v>
      </c>
      <c r="D185" t="str">
        <f t="shared" si="17"/>
        <v>edp_consumer_dcs_consumer_dcs_se_touchpoints_lz</v>
      </c>
    </row>
    <row r="186" spans="1:4" x14ac:dyDescent="0.25">
      <c r="A186" t="s">
        <v>302</v>
      </c>
      <c r="B186" t="str">
        <f t="shared" si="15"/>
        <v>ro</v>
      </c>
      <c r="C186" t="str">
        <f t="shared" si="16"/>
        <v>touchpoints</v>
      </c>
      <c r="D186" t="str">
        <f t="shared" si="17"/>
        <v>edp_consumer_dcs_consumer_dcs_ro_touchpoints_lz</v>
      </c>
    </row>
    <row r="187" spans="1:4" x14ac:dyDescent="0.25">
      <c r="A187" t="s">
        <v>316</v>
      </c>
      <c r="B187" t="str">
        <f t="shared" si="15"/>
        <v>au</v>
      </c>
      <c r="C187" t="str">
        <f t="shared" si="16"/>
        <v>touchpoints</v>
      </c>
      <c r="D187" t="str">
        <f t="shared" si="17"/>
        <v>edp_consumer_dcs_consumer_dcs_au_touchpoints_lz</v>
      </c>
    </row>
    <row r="188" spans="1:4" x14ac:dyDescent="0.25">
      <c r="A188" t="s">
        <v>323</v>
      </c>
      <c r="B188" t="str">
        <f t="shared" si="15"/>
        <v>il</v>
      </c>
      <c r="C188" t="str">
        <f t="shared" si="16"/>
        <v>touchpoints</v>
      </c>
      <c r="D188" t="str">
        <f t="shared" si="17"/>
        <v>edp_consumer_dcs_consumer_dcs_il_touchpoints_lz</v>
      </c>
    </row>
    <row r="189" spans="1:4" x14ac:dyDescent="0.25">
      <c r="A189" t="s">
        <v>324</v>
      </c>
      <c r="B189" t="str">
        <f t="shared" si="15"/>
        <v>nl</v>
      </c>
      <c r="C189" t="str">
        <f t="shared" si="16"/>
        <v>touchpoints</v>
      </c>
      <c r="D189" t="str">
        <f t="shared" si="17"/>
        <v>edp_consumer_dcs_consumer_dcs_nl_touchpoints_lz</v>
      </c>
    </row>
    <row r="190" spans="1:4" x14ac:dyDescent="0.25">
      <c r="A190" t="s">
        <v>325</v>
      </c>
      <c r="B190" t="str">
        <f t="shared" si="15"/>
        <v>dk</v>
      </c>
      <c r="C190" t="str">
        <f t="shared" si="16"/>
        <v>touchpoints</v>
      </c>
      <c r="D190" t="str">
        <f t="shared" si="17"/>
        <v>edp_consumer_dcs_consumer_dcs_dk_touchpoints_lz</v>
      </c>
    </row>
    <row r="191" spans="1:4" x14ac:dyDescent="0.25">
      <c r="A191" t="s">
        <v>331</v>
      </c>
      <c r="B191" t="str">
        <f t="shared" si="15"/>
        <v>ca</v>
      </c>
      <c r="C191" t="str">
        <f t="shared" si="16"/>
        <v>touchpoints</v>
      </c>
      <c r="D191" t="str">
        <f t="shared" si="17"/>
        <v>edp_consumer_dcs_consumer_dcs_ca_touchpoints_lz</v>
      </c>
    </row>
    <row r="192" spans="1:4" x14ac:dyDescent="0.25">
      <c r="A192" t="s">
        <v>336</v>
      </c>
      <c r="B192" t="str">
        <f t="shared" si="15"/>
        <v>kz</v>
      </c>
      <c r="C192" t="str">
        <f t="shared" si="16"/>
        <v>touchpoints</v>
      </c>
      <c r="D192" t="str">
        <f t="shared" si="17"/>
        <v>edp_consumer_dcs_consumer_dcs_kz_touchpoints_lz</v>
      </c>
    </row>
    <row r="193" spans="1:4" x14ac:dyDescent="0.25">
      <c r="A193" t="s">
        <v>384</v>
      </c>
      <c r="B193" t="str">
        <f t="shared" si="15"/>
        <v>pt</v>
      </c>
      <c r="C193" t="str">
        <f t="shared" si="16"/>
        <v>touchpoints</v>
      </c>
      <c r="D193" t="str">
        <f t="shared" si="17"/>
        <v>edp_consumer_dcs_consumer_dcs_pt_touchpoints_lz</v>
      </c>
    </row>
    <row r="194" spans="1:4" x14ac:dyDescent="0.25">
      <c r="A194" t="s">
        <v>389</v>
      </c>
      <c r="B194" t="str">
        <f t="shared" si="15"/>
        <v>lt</v>
      </c>
      <c r="C194" t="str">
        <f t="shared" si="16"/>
        <v>touchpoints</v>
      </c>
      <c r="D194" t="str">
        <f t="shared" si="17"/>
        <v>edp_consumer_dcs_consumer_dcs_lt_touchpoints_lz</v>
      </c>
    </row>
    <row r="195" spans="1:4" x14ac:dyDescent="0.25">
      <c r="A195" t="s">
        <v>395</v>
      </c>
      <c r="B195" t="str">
        <f t="shared" si="15"/>
        <v>ua</v>
      </c>
      <c r="C195" t="str">
        <f t="shared" si="16"/>
        <v>touchpoints</v>
      </c>
      <c r="D195" t="str">
        <f t="shared" si="17"/>
        <v>edp_consumer_dcs_consumer_dcs_ua_touchpoints_lz</v>
      </c>
    </row>
    <row r="196" spans="1:4" x14ac:dyDescent="0.25">
      <c r="A196" t="s">
        <v>417</v>
      </c>
      <c r="B196" t="str">
        <f t="shared" si="15"/>
        <v>gr</v>
      </c>
      <c r="C196" t="str">
        <f t="shared" si="16"/>
        <v>touchpoints</v>
      </c>
      <c r="D196" t="str">
        <f t="shared" si="17"/>
        <v>edp_consumer_dcs_consumer_dcs_gr_touchpoints_lz</v>
      </c>
    </row>
    <row r="197" spans="1:4" x14ac:dyDescent="0.25">
      <c r="A197" t="s">
        <v>424</v>
      </c>
      <c r="B197" t="str">
        <f t="shared" si="15"/>
        <v>nz</v>
      </c>
      <c r="C197" t="str">
        <f t="shared" si="16"/>
        <v>touchpoints</v>
      </c>
      <c r="D197" t="str">
        <f t="shared" si="17"/>
        <v>edp_consumer_dcs_consumer_dcs_nz_touchpoints_lz</v>
      </c>
    </row>
    <row r="198" spans="1:4" x14ac:dyDescent="0.25">
      <c r="A198" t="s">
        <v>467</v>
      </c>
      <c r="B198" t="str">
        <f t="shared" ref="B198:B211" si="18">TRIM(MID(SUBSTITUTE(D198, "_", REPT(" ", 100)), 5*100+1, 100))</f>
        <v>it</v>
      </c>
      <c r="C198" t="str">
        <f t="shared" ref="C198:C211" si="19">TRIM(MID(SUBSTITUTE(A198, "_", REPT(" ", 100)), 6*100+1, 100))</f>
        <v>users</v>
      </c>
      <c r="D198" t="str">
        <f t="shared" ref="D198:D211" si="20">LEFT(A198, FIND(" •", A198)-1)</f>
        <v>edp_consumer_dcs_consumer_dcs_it_users_lz</v>
      </c>
    </row>
    <row r="199" spans="1:4" x14ac:dyDescent="0.25">
      <c r="A199" t="s">
        <v>468</v>
      </c>
      <c r="B199" t="str">
        <f t="shared" si="18"/>
        <v>se</v>
      </c>
      <c r="C199" t="str">
        <f t="shared" si="19"/>
        <v>users</v>
      </c>
      <c r="D199" t="str">
        <f t="shared" si="20"/>
        <v>edp_consumer_dcs_consumer_dcs_se_users_lz</v>
      </c>
    </row>
    <row r="200" spans="1:4" x14ac:dyDescent="0.25">
      <c r="A200" t="s">
        <v>469</v>
      </c>
      <c r="B200" t="str">
        <f t="shared" si="18"/>
        <v>ro</v>
      </c>
      <c r="C200" t="str">
        <f t="shared" si="19"/>
        <v>users</v>
      </c>
      <c r="D200" t="str">
        <f t="shared" si="20"/>
        <v>edp_consumer_dcs_consumer_dcs_ro_users_lz</v>
      </c>
    </row>
    <row r="201" spans="1:4" x14ac:dyDescent="0.25">
      <c r="A201" t="s">
        <v>470</v>
      </c>
      <c r="B201" t="str">
        <f t="shared" si="18"/>
        <v>au</v>
      </c>
      <c r="C201" t="str">
        <f t="shared" si="19"/>
        <v>users</v>
      </c>
      <c r="D201" t="str">
        <f t="shared" si="20"/>
        <v>edp_consumer_dcs_consumer_dcs_au_users_lz</v>
      </c>
    </row>
    <row r="202" spans="1:4" x14ac:dyDescent="0.25">
      <c r="A202" t="s">
        <v>471</v>
      </c>
      <c r="B202" t="str">
        <f t="shared" si="18"/>
        <v>il</v>
      </c>
      <c r="C202" t="str">
        <f t="shared" si="19"/>
        <v>users</v>
      </c>
      <c r="D202" t="str">
        <f t="shared" si="20"/>
        <v>edp_consumer_dcs_consumer_dcs_il_users_lz</v>
      </c>
    </row>
    <row r="203" spans="1:4" x14ac:dyDescent="0.25">
      <c r="A203" t="s">
        <v>472</v>
      </c>
      <c r="B203" t="str">
        <f t="shared" si="18"/>
        <v>nl</v>
      </c>
      <c r="C203" t="str">
        <f t="shared" si="19"/>
        <v>users</v>
      </c>
      <c r="D203" t="str">
        <f t="shared" si="20"/>
        <v>edp_consumer_dcs_consumer_dcs_nl_users_lz</v>
      </c>
    </row>
    <row r="204" spans="1:4" x14ac:dyDescent="0.25">
      <c r="A204" t="s">
        <v>473</v>
      </c>
      <c r="B204" t="str">
        <f t="shared" si="18"/>
        <v>dk</v>
      </c>
      <c r="C204" t="str">
        <f t="shared" si="19"/>
        <v>users</v>
      </c>
      <c r="D204" t="str">
        <f t="shared" si="20"/>
        <v>edp_consumer_dcs_consumer_dcs_dk_users_lz</v>
      </c>
    </row>
    <row r="205" spans="1:4" x14ac:dyDescent="0.25">
      <c r="A205" t="s">
        <v>474</v>
      </c>
      <c r="B205" t="str">
        <f t="shared" si="18"/>
        <v>ca</v>
      </c>
      <c r="C205" t="str">
        <f t="shared" si="19"/>
        <v>users</v>
      </c>
      <c r="D205" t="str">
        <f t="shared" si="20"/>
        <v>edp_consumer_dcs_consumer_dcs_ca_users_lz</v>
      </c>
    </row>
    <row r="206" spans="1:4" x14ac:dyDescent="0.25">
      <c r="A206" t="s">
        <v>475</v>
      </c>
      <c r="B206" t="str">
        <f t="shared" si="18"/>
        <v>kz</v>
      </c>
      <c r="C206" t="str">
        <f t="shared" si="19"/>
        <v>users</v>
      </c>
      <c r="D206" t="str">
        <f t="shared" si="20"/>
        <v>edp_consumer_dcs_consumer_dcs_kz_users_lz</v>
      </c>
    </row>
    <row r="207" spans="1:4" x14ac:dyDescent="0.25">
      <c r="A207" t="s">
        <v>476</v>
      </c>
      <c r="B207" t="str">
        <f t="shared" si="18"/>
        <v>pt</v>
      </c>
      <c r="C207" t="str">
        <f t="shared" si="19"/>
        <v>users</v>
      </c>
      <c r="D207" t="str">
        <f t="shared" si="20"/>
        <v>edp_consumer_dcs_consumer_dcs_pt_users_lz</v>
      </c>
    </row>
    <row r="208" spans="1:4" x14ac:dyDescent="0.25">
      <c r="A208" t="s">
        <v>477</v>
      </c>
      <c r="B208" t="str">
        <f t="shared" si="18"/>
        <v>lt</v>
      </c>
      <c r="C208" t="str">
        <f t="shared" si="19"/>
        <v>users</v>
      </c>
      <c r="D208" t="str">
        <f t="shared" si="20"/>
        <v>edp_consumer_dcs_consumer_dcs_lt_users_lz</v>
      </c>
    </row>
    <row r="209" spans="1:4" x14ac:dyDescent="0.25">
      <c r="A209" t="s">
        <v>478</v>
      </c>
      <c r="B209" t="str">
        <f t="shared" si="18"/>
        <v>ua</v>
      </c>
      <c r="C209" t="str">
        <f t="shared" si="19"/>
        <v>users</v>
      </c>
      <c r="D209" t="str">
        <f t="shared" si="20"/>
        <v>edp_consumer_dcs_consumer_dcs_ua_users_lz</v>
      </c>
    </row>
    <row r="210" spans="1:4" x14ac:dyDescent="0.25">
      <c r="A210" t="s">
        <v>479</v>
      </c>
      <c r="B210" t="str">
        <f t="shared" si="18"/>
        <v>gr</v>
      </c>
      <c r="C210" t="str">
        <f t="shared" si="19"/>
        <v>users</v>
      </c>
      <c r="D210" t="str">
        <f t="shared" si="20"/>
        <v>edp_consumer_dcs_consumer_dcs_gr_users_lz</v>
      </c>
    </row>
    <row r="211" spans="1:4" x14ac:dyDescent="0.25">
      <c r="A211" t="s">
        <v>480</v>
      </c>
      <c r="B211" t="str">
        <f t="shared" si="18"/>
        <v>nz</v>
      </c>
      <c r="C211" t="str">
        <f t="shared" si="19"/>
        <v>users</v>
      </c>
      <c r="D211" t="str">
        <f t="shared" si="20"/>
        <v>edp_consumer_dcs_consumer_dcs_nz_users_lz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E9C4-D86D-4E2D-B78F-011FB531562F}">
  <dimension ref="A1:H17"/>
  <sheetViews>
    <sheetView workbookViewId="0">
      <selection activeCell="H17" sqref="H17"/>
    </sheetView>
  </sheetViews>
  <sheetFormatPr defaultRowHeight="15" x14ac:dyDescent="0.25"/>
  <cols>
    <col min="2" max="2" width="23.42578125" bestFit="1" customWidth="1"/>
    <col min="3" max="3" width="12.7109375" style="4" customWidth="1"/>
    <col min="4" max="4" width="16.85546875" hidden="1" customWidth="1"/>
  </cols>
  <sheetData>
    <row r="1" spans="1:8" x14ac:dyDescent="0.25">
      <c r="B1" s="29" t="s">
        <v>482</v>
      </c>
      <c r="C1" s="29"/>
    </row>
    <row r="2" spans="1:8" x14ac:dyDescent="0.25">
      <c r="B2" s="17" t="s">
        <v>483</v>
      </c>
      <c r="C2" s="17" t="s">
        <v>484</v>
      </c>
      <c r="D2" s="17" t="s">
        <v>485</v>
      </c>
    </row>
    <row r="3" spans="1:8" x14ac:dyDescent="0.25">
      <c r="A3" s="30" t="s">
        <v>489</v>
      </c>
      <c r="B3" t="s">
        <v>434</v>
      </c>
      <c r="C3" s="4" t="s">
        <v>506</v>
      </c>
    </row>
    <row r="4" spans="1:8" x14ac:dyDescent="0.25">
      <c r="A4" s="30"/>
      <c r="B4" t="s">
        <v>435</v>
      </c>
      <c r="C4" s="4" t="s">
        <v>506</v>
      </c>
    </row>
    <row r="5" spans="1:8" x14ac:dyDescent="0.25">
      <c r="A5" s="30"/>
      <c r="B5" t="s">
        <v>436</v>
      </c>
      <c r="C5" s="4" t="s">
        <v>506</v>
      </c>
    </row>
    <row r="6" spans="1:8" x14ac:dyDescent="0.25">
      <c r="A6" s="30"/>
      <c r="B6" t="s">
        <v>437</v>
      </c>
      <c r="C6" s="4" t="s">
        <v>506</v>
      </c>
      <c r="G6" t="s">
        <v>487</v>
      </c>
      <c r="H6" s="14" t="s">
        <v>488</v>
      </c>
    </row>
    <row r="7" spans="1:8" x14ac:dyDescent="0.25">
      <c r="A7" s="30"/>
      <c r="B7" t="s">
        <v>438</v>
      </c>
      <c r="C7" s="4" t="s">
        <v>506</v>
      </c>
      <c r="G7" t="s">
        <v>491</v>
      </c>
      <c r="H7" s="14" t="s">
        <v>492</v>
      </c>
    </row>
    <row r="8" spans="1:8" x14ac:dyDescent="0.25">
      <c r="A8" s="30"/>
      <c r="B8" t="s">
        <v>439</v>
      </c>
      <c r="C8" s="4" t="s">
        <v>506</v>
      </c>
    </row>
    <row r="9" spans="1:8" x14ac:dyDescent="0.25">
      <c r="A9" s="30"/>
      <c r="B9" t="s">
        <v>440</v>
      </c>
      <c r="C9" s="4" t="s">
        <v>506</v>
      </c>
    </row>
    <row r="10" spans="1:8" x14ac:dyDescent="0.25">
      <c r="A10" s="30" t="s">
        <v>490</v>
      </c>
      <c r="B10" t="s">
        <v>442</v>
      </c>
      <c r="C10" s="4" t="s">
        <v>506</v>
      </c>
    </row>
    <row r="11" spans="1:8" x14ac:dyDescent="0.25">
      <c r="A11" s="30"/>
      <c r="B11" t="s">
        <v>443</v>
      </c>
      <c r="C11" s="4" t="s">
        <v>506</v>
      </c>
      <c r="D11" t="s">
        <v>486</v>
      </c>
    </row>
    <row r="12" spans="1:8" x14ac:dyDescent="0.25">
      <c r="A12" s="30"/>
      <c r="B12" t="s">
        <v>444</v>
      </c>
      <c r="C12" s="4" t="s">
        <v>506</v>
      </c>
    </row>
    <row r="13" spans="1:8" x14ac:dyDescent="0.25">
      <c r="A13" s="30"/>
      <c r="B13" t="s">
        <v>445</v>
      </c>
      <c r="C13" s="4" t="s">
        <v>506</v>
      </c>
    </row>
    <row r="14" spans="1:8" x14ac:dyDescent="0.25">
      <c r="A14" s="30"/>
      <c r="B14" t="s">
        <v>446</v>
      </c>
      <c r="C14" s="4" t="s">
        <v>506</v>
      </c>
    </row>
    <row r="15" spans="1:8" x14ac:dyDescent="0.25">
      <c r="A15" s="30"/>
      <c r="B15" t="s">
        <v>447</v>
      </c>
      <c r="C15" s="4" t="s">
        <v>506</v>
      </c>
      <c r="D15" t="s">
        <v>481</v>
      </c>
    </row>
    <row r="16" spans="1:8" x14ac:dyDescent="0.25">
      <c r="A16" s="30"/>
      <c r="B16" t="s">
        <v>448</v>
      </c>
      <c r="C16" s="4" t="s">
        <v>506</v>
      </c>
    </row>
    <row r="17" spans="1:3" x14ac:dyDescent="0.25">
      <c r="A17" s="30"/>
      <c r="B17" t="s">
        <v>464</v>
      </c>
      <c r="C17" s="4" t="s">
        <v>506</v>
      </c>
    </row>
  </sheetData>
  <mergeCells count="3">
    <mergeCell ref="B1:C1"/>
    <mergeCell ref="A3:A9"/>
    <mergeCell ref="A10:A17"/>
  </mergeCells>
  <hyperlinks>
    <hyperlink ref="H6" r:id="rId1" display="https://back-office-qa.dcxinge-qa.aws.pmicloud.biz/release/configRelease/92615e85-ac61-47bc-b831-c9345c5491af" xr:uid="{CC96B1D3-3543-4151-B119-FF9C18466A64}"/>
    <hyperlink ref="H7" r:id="rId2" display="https://back-office-qa.dcxinge-qa.aws.pmicloud.biz/release/configRelease/2fb592c8-cdde-4d3e-93c4-6cb6677f757c" xr:uid="{221E2259-AEA0-4188-8135-A724A5E4F4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2BDA-3015-49BD-AD5E-1E9DB503ECB2}">
  <dimension ref="A1:D16"/>
  <sheetViews>
    <sheetView workbookViewId="0">
      <selection activeCell="D9" sqref="D9"/>
    </sheetView>
  </sheetViews>
  <sheetFormatPr defaultRowHeight="15" x14ac:dyDescent="0.25"/>
  <cols>
    <col min="1" max="1" width="32.140625" customWidth="1"/>
    <col min="2" max="2" width="32.140625" style="4" customWidth="1"/>
    <col min="3" max="3" width="18.85546875" customWidth="1"/>
    <col min="4" max="4" width="28.42578125" style="4" customWidth="1"/>
  </cols>
  <sheetData>
    <row r="1" spans="1:4" ht="17.25" thickBot="1" x14ac:dyDescent="0.3">
      <c r="A1" s="23" t="s">
        <v>432</v>
      </c>
      <c r="B1" s="24" t="s">
        <v>498</v>
      </c>
      <c r="C1" s="25" t="s">
        <v>495</v>
      </c>
      <c r="D1" s="25" t="s">
        <v>503</v>
      </c>
    </row>
    <row r="2" spans="1:4" ht="17.25" thickBot="1" x14ac:dyDescent="0.3">
      <c r="A2" s="21" t="s">
        <v>436</v>
      </c>
      <c r="B2" s="22" t="s">
        <v>499</v>
      </c>
      <c r="C2" s="20">
        <v>0.59358796296296301</v>
      </c>
      <c r="D2" s="4" t="str">
        <f t="shared" ref="D2:D16" si="0">TEXT(C2, "h AM/PM")</f>
        <v>2 PM</v>
      </c>
    </row>
    <row r="3" spans="1:4" ht="17.25" thickBot="1" x14ac:dyDescent="0.3">
      <c r="A3" s="18" t="s">
        <v>443</v>
      </c>
      <c r="B3" s="22" t="s">
        <v>499</v>
      </c>
      <c r="C3" s="20">
        <v>0.59263888888888894</v>
      </c>
      <c r="D3" s="4" t="str">
        <f t="shared" si="0"/>
        <v>2 PM</v>
      </c>
    </row>
    <row r="4" spans="1:4" ht="17.25" thickBot="1" x14ac:dyDescent="0.3">
      <c r="A4" s="18" t="s">
        <v>444</v>
      </c>
      <c r="B4" s="22" t="s">
        <v>499</v>
      </c>
      <c r="C4" s="19">
        <v>0.59162037037037041</v>
      </c>
      <c r="D4" s="4" t="str">
        <f t="shared" si="0"/>
        <v>2 PM</v>
      </c>
    </row>
    <row r="5" spans="1:4" ht="17.25" thickBot="1" x14ac:dyDescent="0.3">
      <c r="A5" s="18" t="s">
        <v>448</v>
      </c>
      <c r="B5" s="22" t="s">
        <v>499</v>
      </c>
      <c r="C5" s="19">
        <v>0.59259259259259256</v>
      </c>
      <c r="D5" s="4" t="str">
        <f t="shared" si="0"/>
        <v>2 PM</v>
      </c>
    </row>
    <row r="6" spans="1:4" ht="17.25" thickBot="1" x14ac:dyDescent="0.3">
      <c r="A6" s="18" t="s">
        <v>445</v>
      </c>
      <c r="B6" s="22" t="s">
        <v>502</v>
      </c>
      <c r="C6" s="19">
        <v>0.67496527777777782</v>
      </c>
      <c r="D6" s="4" t="str">
        <f t="shared" si="0"/>
        <v>4 PM</v>
      </c>
    </row>
    <row r="7" spans="1:4" ht="17.25" thickBot="1" x14ac:dyDescent="0.3">
      <c r="A7" s="18" t="s">
        <v>446</v>
      </c>
      <c r="B7" s="22" t="s">
        <v>502</v>
      </c>
      <c r="C7" s="19">
        <v>0.67641203703703701</v>
      </c>
      <c r="D7" s="4" t="str">
        <f t="shared" si="0"/>
        <v>4 PM</v>
      </c>
    </row>
    <row r="8" spans="1:4" ht="17.25" thickBot="1" x14ac:dyDescent="0.3">
      <c r="A8" s="18" t="s">
        <v>439</v>
      </c>
      <c r="B8" s="22" t="s">
        <v>501</v>
      </c>
      <c r="C8" s="19">
        <v>0.68273148148148144</v>
      </c>
      <c r="D8" s="4" t="str">
        <f t="shared" si="0"/>
        <v>4 PM</v>
      </c>
    </row>
    <row r="9" spans="1:4" ht="17.25" thickBot="1" x14ac:dyDescent="0.3">
      <c r="A9" s="18" t="s">
        <v>440</v>
      </c>
      <c r="B9" s="22" t="s">
        <v>501</v>
      </c>
      <c r="C9" s="19">
        <v>0.6827199074074074</v>
      </c>
      <c r="D9" s="4" t="str">
        <f t="shared" si="0"/>
        <v>4 PM</v>
      </c>
    </row>
    <row r="10" spans="1:4" ht="17.25" thickBot="1" x14ac:dyDescent="0.3">
      <c r="A10" s="18" t="s">
        <v>493</v>
      </c>
      <c r="B10" s="22" t="s">
        <v>496</v>
      </c>
      <c r="C10" s="19">
        <v>0.72100694444444446</v>
      </c>
      <c r="D10" s="4" t="str">
        <f t="shared" si="0"/>
        <v>5 PM</v>
      </c>
    </row>
    <row r="11" spans="1:4" ht="17.25" thickBot="1" x14ac:dyDescent="0.3">
      <c r="A11" s="18" t="s">
        <v>494</v>
      </c>
      <c r="B11" s="22" t="s">
        <v>497</v>
      </c>
      <c r="C11" s="19">
        <v>0.80138888888888893</v>
      </c>
      <c r="D11" s="4" t="str">
        <f t="shared" si="0"/>
        <v>7 PM</v>
      </c>
    </row>
    <row r="12" spans="1:4" ht="17.25" thickBot="1" x14ac:dyDescent="0.3">
      <c r="A12" s="18" t="s">
        <v>447</v>
      </c>
      <c r="B12" s="22" t="s">
        <v>497</v>
      </c>
      <c r="C12" s="19">
        <v>0.79964120370370373</v>
      </c>
      <c r="D12" s="4" t="str">
        <f t="shared" si="0"/>
        <v>7 PM</v>
      </c>
    </row>
    <row r="13" spans="1:4" ht="17.25" thickBot="1" x14ac:dyDescent="0.3">
      <c r="A13" s="18" t="s">
        <v>437</v>
      </c>
      <c r="B13" s="22" t="s">
        <v>500</v>
      </c>
      <c r="C13" s="19">
        <v>0.87912037037037039</v>
      </c>
      <c r="D13" s="4" t="str">
        <f t="shared" si="0"/>
        <v>9 PM</v>
      </c>
    </row>
    <row r="14" spans="1:4" ht="17.25" thickBot="1" x14ac:dyDescent="0.3">
      <c r="A14" s="18" t="s">
        <v>438</v>
      </c>
      <c r="B14" s="22" t="s">
        <v>500</v>
      </c>
      <c r="C14" s="19">
        <v>0.87718750000000001</v>
      </c>
      <c r="D14" s="4" t="str">
        <f t="shared" si="0"/>
        <v>9 PM</v>
      </c>
    </row>
    <row r="15" spans="1:4" ht="17.25" thickBot="1" x14ac:dyDescent="0.3">
      <c r="A15" s="18" t="s">
        <v>442</v>
      </c>
      <c r="B15" s="22" t="s">
        <v>500</v>
      </c>
      <c r="C15" s="19">
        <v>0.87806712962962963</v>
      </c>
      <c r="D15" s="4" t="str">
        <f t="shared" si="0"/>
        <v>9 PM</v>
      </c>
    </row>
    <row r="16" spans="1:4" ht="17.25" thickBot="1" x14ac:dyDescent="0.3">
      <c r="A16" s="18" t="s">
        <v>464</v>
      </c>
      <c r="B16" s="22" t="s">
        <v>500</v>
      </c>
      <c r="C16" s="19">
        <v>0.87994212962962959</v>
      </c>
      <c r="D16" s="4" t="str">
        <f t="shared" si="0"/>
        <v>9 PM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8AE5-3137-412F-855B-217815F90084}">
  <dimension ref="A1:M197"/>
  <sheetViews>
    <sheetView topLeftCell="A171" zoomScaleNormal="100" workbookViewId="0">
      <selection activeCell="D2" sqref="D2:D197"/>
    </sheetView>
  </sheetViews>
  <sheetFormatPr defaultRowHeight="15" x14ac:dyDescent="0.25"/>
  <cols>
    <col min="1" max="1" width="4" style="4" bestFit="1" customWidth="1"/>
    <col min="2" max="2" width="6.140625" bestFit="1" customWidth="1"/>
    <col min="3" max="3" width="28.7109375" bestFit="1" customWidth="1"/>
    <col min="4" max="4" width="12.42578125" bestFit="1" customWidth="1"/>
    <col min="5" max="5" width="32.28515625" bestFit="1" customWidth="1"/>
    <col min="6" max="6" width="13.85546875" style="4" customWidth="1"/>
    <col min="7" max="7" width="13.42578125" bestFit="1" customWidth="1"/>
    <col min="8" max="8" width="15.85546875" bestFit="1" customWidth="1"/>
  </cols>
  <sheetData>
    <row r="1" spans="1:8" ht="45" x14ac:dyDescent="0.25">
      <c r="A1" s="5" t="s">
        <v>216</v>
      </c>
      <c r="B1" s="5" t="s">
        <v>215</v>
      </c>
      <c r="C1" s="5" t="s">
        <v>32</v>
      </c>
      <c r="D1" s="5" t="s">
        <v>219</v>
      </c>
      <c r="E1" s="5" t="s">
        <v>14</v>
      </c>
      <c r="F1" s="2" t="s">
        <v>217</v>
      </c>
      <c r="G1" s="2" t="s">
        <v>218</v>
      </c>
      <c r="H1" s="5" t="s">
        <v>15</v>
      </c>
    </row>
    <row r="2" spans="1:8" x14ac:dyDescent="0.25">
      <c r="A2" s="4">
        <v>1</v>
      </c>
      <c r="B2">
        <v>1</v>
      </c>
      <c r="C2" t="s">
        <v>33</v>
      </c>
      <c r="D2" s="4" t="str">
        <f>LEFT(E2, FIND("_", E2) - 1)</f>
        <v>DK</v>
      </c>
      <c r="E2" t="s">
        <v>0</v>
      </c>
      <c r="F2" s="3" t="s">
        <v>16</v>
      </c>
      <c r="G2" s="3" t="s">
        <v>16</v>
      </c>
      <c r="H2" s="1"/>
    </row>
    <row r="3" spans="1:8" x14ac:dyDescent="0.25">
      <c r="A3" s="4">
        <v>2</v>
      </c>
      <c r="B3">
        <v>2</v>
      </c>
      <c r="C3" t="s">
        <v>33</v>
      </c>
      <c r="D3" s="4" t="str">
        <f t="shared" ref="D3:D66" si="0">LEFT(E3, FIND("_", E3) - 1)</f>
        <v>GR</v>
      </c>
      <c r="E3" t="s">
        <v>1</v>
      </c>
      <c r="F3" s="4" t="s">
        <v>16</v>
      </c>
      <c r="G3" s="4" t="s">
        <v>16</v>
      </c>
    </row>
    <row r="4" spans="1:8" x14ac:dyDescent="0.25">
      <c r="A4" s="4">
        <v>3</v>
      </c>
      <c r="B4">
        <v>3</v>
      </c>
      <c r="C4" t="s">
        <v>33</v>
      </c>
      <c r="D4" s="4" t="str">
        <f t="shared" si="0"/>
        <v>RO</v>
      </c>
      <c r="E4" t="s">
        <v>2</v>
      </c>
      <c r="F4" s="4" t="s">
        <v>16</v>
      </c>
      <c r="G4" s="4" t="s">
        <v>16</v>
      </c>
    </row>
    <row r="5" spans="1:8" x14ac:dyDescent="0.25">
      <c r="A5" s="4">
        <v>4</v>
      </c>
      <c r="B5">
        <v>4</v>
      </c>
      <c r="C5" t="s">
        <v>33</v>
      </c>
      <c r="D5" s="4" t="str">
        <f t="shared" si="0"/>
        <v>PT</v>
      </c>
      <c r="E5" t="s">
        <v>3</v>
      </c>
      <c r="F5" s="4" t="s">
        <v>16</v>
      </c>
      <c r="G5" s="4" t="s">
        <v>16</v>
      </c>
    </row>
    <row r="6" spans="1:8" x14ac:dyDescent="0.25">
      <c r="A6" s="4">
        <v>5</v>
      </c>
      <c r="B6">
        <v>5</v>
      </c>
      <c r="C6" t="s">
        <v>33</v>
      </c>
      <c r="D6" s="4" t="str">
        <f t="shared" si="0"/>
        <v>CA</v>
      </c>
      <c r="E6" t="s">
        <v>4</v>
      </c>
      <c r="F6" s="4" t="s">
        <v>16</v>
      </c>
      <c r="G6" s="4" t="s">
        <v>16</v>
      </c>
    </row>
    <row r="7" spans="1:8" x14ac:dyDescent="0.25">
      <c r="A7" s="4">
        <v>6</v>
      </c>
      <c r="B7">
        <v>6</v>
      </c>
      <c r="C7" t="s">
        <v>33</v>
      </c>
      <c r="D7" s="4" t="str">
        <f t="shared" si="0"/>
        <v>IT</v>
      </c>
      <c r="E7" t="s">
        <v>5</v>
      </c>
      <c r="F7" s="4" t="s">
        <v>16</v>
      </c>
      <c r="G7" s="4" t="s">
        <v>16</v>
      </c>
    </row>
    <row r="8" spans="1:8" x14ac:dyDescent="0.25">
      <c r="A8" s="4">
        <v>7</v>
      </c>
      <c r="B8">
        <v>7</v>
      </c>
      <c r="C8" t="s">
        <v>33</v>
      </c>
      <c r="D8" s="4" t="str">
        <f t="shared" si="0"/>
        <v>AU</v>
      </c>
      <c r="E8" t="s">
        <v>6</v>
      </c>
      <c r="F8" s="4" t="s">
        <v>16</v>
      </c>
      <c r="G8" s="4" t="s">
        <v>16</v>
      </c>
    </row>
    <row r="9" spans="1:8" x14ac:dyDescent="0.25">
      <c r="A9" s="4">
        <v>8</v>
      </c>
      <c r="B9">
        <v>8</v>
      </c>
      <c r="C9" t="s">
        <v>33</v>
      </c>
      <c r="D9" s="4" t="str">
        <f t="shared" si="0"/>
        <v>KZ</v>
      </c>
      <c r="E9" t="s">
        <v>7</v>
      </c>
      <c r="F9" s="4" t="s">
        <v>16</v>
      </c>
      <c r="G9" s="4" t="s">
        <v>16</v>
      </c>
      <c r="H9" t="s">
        <v>17</v>
      </c>
    </row>
    <row r="10" spans="1:8" x14ac:dyDescent="0.25">
      <c r="A10" s="4">
        <v>9</v>
      </c>
      <c r="B10">
        <v>9</v>
      </c>
      <c r="C10" t="s">
        <v>33</v>
      </c>
      <c r="D10" s="4" t="str">
        <f t="shared" si="0"/>
        <v>LT</v>
      </c>
      <c r="E10" t="s">
        <v>8</v>
      </c>
      <c r="F10" s="4" t="s">
        <v>16</v>
      </c>
      <c r="G10" s="4" t="s">
        <v>16</v>
      </c>
    </row>
    <row r="11" spans="1:8" x14ac:dyDescent="0.25">
      <c r="A11" s="4">
        <v>10</v>
      </c>
      <c r="B11">
        <v>10</v>
      </c>
      <c r="C11" t="s">
        <v>33</v>
      </c>
      <c r="D11" s="4" t="str">
        <f t="shared" si="0"/>
        <v>NZ</v>
      </c>
      <c r="E11" t="s">
        <v>9</v>
      </c>
      <c r="F11" s="4" t="s">
        <v>16</v>
      </c>
      <c r="G11" s="4" t="s">
        <v>16</v>
      </c>
    </row>
    <row r="12" spans="1:8" x14ac:dyDescent="0.25">
      <c r="A12" s="4">
        <v>11</v>
      </c>
      <c r="B12">
        <v>11</v>
      </c>
      <c r="C12" t="s">
        <v>33</v>
      </c>
      <c r="D12" s="4" t="str">
        <f t="shared" si="0"/>
        <v>SE</v>
      </c>
      <c r="E12" t="s">
        <v>10</v>
      </c>
      <c r="F12" s="4" t="s">
        <v>16</v>
      </c>
      <c r="G12" s="4" t="s">
        <v>16</v>
      </c>
    </row>
    <row r="13" spans="1:8" x14ac:dyDescent="0.25">
      <c r="A13" s="4">
        <v>12</v>
      </c>
      <c r="B13">
        <v>12</v>
      </c>
      <c r="C13" t="s">
        <v>33</v>
      </c>
      <c r="D13" s="4" t="str">
        <f t="shared" si="0"/>
        <v>IL</v>
      </c>
      <c r="E13" t="s">
        <v>11</v>
      </c>
      <c r="F13" s="4" t="s">
        <v>16</v>
      </c>
      <c r="G13" s="4" t="s">
        <v>16</v>
      </c>
    </row>
    <row r="14" spans="1:8" x14ac:dyDescent="0.25">
      <c r="A14" s="4">
        <v>13</v>
      </c>
      <c r="B14">
        <v>13</v>
      </c>
      <c r="C14" t="s">
        <v>33</v>
      </c>
      <c r="D14" s="4" t="str">
        <f t="shared" si="0"/>
        <v>NL</v>
      </c>
      <c r="E14" t="s">
        <v>12</v>
      </c>
      <c r="F14" s="4" t="s">
        <v>16</v>
      </c>
      <c r="G14" s="4" t="s">
        <v>16</v>
      </c>
    </row>
    <row r="15" spans="1:8" x14ac:dyDescent="0.25">
      <c r="A15" s="4">
        <v>14</v>
      </c>
      <c r="B15">
        <v>14</v>
      </c>
      <c r="C15" t="s">
        <v>33</v>
      </c>
      <c r="D15" s="4" t="str">
        <f t="shared" si="0"/>
        <v>UA</v>
      </c>
      <c r="E15" t="s">
        <v>13</v>
      </c>
      <c r="F15" s="4" t="s">
        <v>16</v>
      </c>
      <c r="G15" s="4" t="s">
        <v>16</v>
      </c>
    </row>
    <row r="16" spans="1:8" x14ac:dyDescent="0.25">
      <c r="A16" s="4">
        <v>15</v>
      </c>
      <c r="B16">
        <v>1</v>
      </c>
      <c r="C16" t="s">
        <v>34</v>
      </c>
      <c r="D16" s="4" t="str">
        <f t="shared" si="0"/>
        <v>SE</v>
      </c>
      <c r="E16" t="s">
        <v>18</v>
      </c>
      <c r="F16" s="4" t="s">
        <v>16</v>
      </c>
      <c r="G16" s="4" t="s">
        <v>16</v>
      </c>
      <c r="H16" t="s">
        <v>17</v>
      </c>
    </row>
    <row r="17" spans="1:8" x14ac:dyDescent="0.25">
      <c r="A17" s="4">
        <v>16</v>
      </c>
      <c r="B17">
        <v>2</v>
      </c>
      <c r="C17" t="s">
        <v>34</v>
      </c>
      <c r="D17" s="4" t="str">
        <f t="shared" si="0"/>
        <v>PT</v>
      </c>
      <c r="E17" t="s">
        <v>19</v>
      </c>
      <c r="F17" s="4" t="s">
        <v>16</v>
      </c>
      <c r="G17" s="4" t="s">
        <v>16</v>
      </c>
      <c r="H17" t="s">
        <v>17</v>
      </c>
    </row>
    <row r="18" spans="1:8" x14ac:dyDescent="0.25">
      <c r="A18" s="4">
        <v>17</v>
      </c>
      <c r="B18">
        <v>3</v>
      </c>
      <c r="C18" t="s">
        <v>34</v>
      </c>
      <c r="D18" s="4" t="str">
        <f t="shared" si="0"/>
        <v>IT</v>
      </c>
      <c r="E18" t="s">
        <v>20</v>
      </c>
      <c r="F18" s="4" t="s">
        <v>16</v>
      </c>
      <c r="G18" s="4" t="s">
        <v>16</v>
      </c>
    </row>
    <row r="19" spans="1:8" x14ac:dyDescent="0.25">
      <c r="A19" s="4">
        <v>18</v>
      </c>
      <c r="B19">
        <v>4</v>
      </c>
      <c r="C19" t="s">
        <v>34</v>
      </c>
      <c r="D19" s="4" t="str">
        <f t="shared" si="0"/>
        <v>NL</v>
      </c>
      <c r="E19" t="s">
        <v>21</v>
      </c>
      <c r="F19" s="4" t="s">
        <v>16</v>
      </c>
      <c r="G19" s="4" t="s">
        <v>16</v>
      </c>
    </row>
    <row r="20" spans="1:8" x14ac:dyDescent="0.25">
      <c r="A20" s="4">
        <v>19</v>
      </c>
      <c r="B20">
        <v>5</v>
      </c>
      <c r="C20" t="s">
        <v>34</v>
      </c>
      <c r="D20" s="4" t="str">
        <f t="shared" si="0"/>
        <v>RO</v>
      </c>
      <c r="E20" t="s">
        <v>22</v>
      </c>
      <c r="F20" s="4" t="s">
        <v>16</v>
      </c>
      <c r="G20" s="4" t="s">
        <v>16</v>
      </c>
    </row>
    <row r="21" spans="1:8" x14ac:dyDescent="0.25">
      <c r="A21" s="4">
        <v>20</v>
      </c>
      <c r="B21">
        <v>6</v>
      </c>
      <c r="C21" t="s">
        <v>34</v>
      </c>
      <c r="D21" s="4" t="str">
        <f t="shared" si="0"/>
        <v>AU</v>
      </c>
      <c r="E21" t="s">
        <v>23</v>
      </c>
      <c r="F21" s="4" t="s">
        <v>16</v>
      </c>
      <c r="G21" s="4" t="s">
        <v>16</v>
      </c>
      <c r="H21" t="s">
        <v>17</v>
      </c>
    </row>
    <row r="22" spans="1:8" x14ac:dyDescent="0.25">
      <c r="A22" s="4">
        <v>21</v>
      </c>
      <c r="B22">
        <v>7</v>
      </c>
      <c r="C22" t="s">
        <v>34</v>
      </c>
      <c r="D22" s="4" t="str">
        <f t="shared" si="0"/>
        <v>DK</v>
      </c>
      <c r="E22" t="s">
        <v>24</v>
      </c>
      <c r="F22" s="4" t="s">
        <v>16</v>
      </c>
      <c r="G22" s="4" t="s">
        <v>16</v>
      </c>
      <c r="H22" t="s">
        <v>17</v>
      </c>
    </row>
    <row r="23" spans="1:8" x14ac:dyDescent="0.25">
      <c r="A23" s="4">
        <v>22</v>
      </c>
      <c r="B23">
        <v>8</v>
      </c>
      <c r="C23" t="s">
        <v>34</v>
      </c>
      <c r="D23" s="4" t="str">
        <f t="shared" si="0"/>
        <v>IL</v>
      </c>
      <c r="E23" t="s">
        <v>25</v>
      </c>
      <c r="F23" s="4" t="s">
        <v>16</v>
      </c>
      <c r="G23" s="4" t="s">
        <v>16</v>
      </c>
    </row>
    <row r="24" spans="1:8" x14ac:dyDescent="0.25">
      <c r="A24" s="4">
        <v>23</v>
      </c>
      <c r="B24">
        <v>9</v>
      </c>
      <c r="C24" t="s">
        <v>34</v>
      </c>
      <c r="D24" s="4" t="str">
        <f t="shared" si="0"/>
        <v>GR</v>
      </c>
      <c r="E24" t="s">
        <v>26</v>
      </c>
      <c r="F24" s="4" t="s">
        <v>16</v>
      </c>
      <c r="G24" s="4" t="s">
        <v>16</v>
      </c>
    </row>
    <row r="25" spans="1:8" x14ac:dyDescent="0.25">
      <c r="A25" s="4">
        <v>24</v>
      </c>
      <c r="B25">
        <v>10</v>
      </c>
      <c r="C25" t="s">
        <v>34</v>
      </c>
      <c r="D25" s="4" t="str">
        <f t="shared" si="0"/>
        <v>CA</v>
      </c>
      <c r="E25" t="s">
        <v>27</v>
      </c>
      <c r="F25" s="4" t="s">
        <v>16</v>
      </c>
      <c r="G25" s="4" t="s">
        <v>16</v>
      </c>
    </row>
    <row r="26" spans="1:8" x14ac:dyDescent="0.25">
      <c r="A26" s="4">
        <v>25</v>
      </c>
      <c r="B26">
        <v>11</v>
      </c>
      <c r="C26" t="s">
        <v>34</v>
      </c>
      <c r="D26" s="4" t="str">
        <f t="shared" si="0"/>
        <v>NZ</v>
      </c>
      <c r="E26" t="s">
        <v>28</v>
      </c>
      <c r="F26" s="4" t="s">
        <v>16</v>
      </c>
      <c r="G26" s="4" t="s">
        <v>16</v>
      </c>
      <c r="H26" t="s">
        <v>17</v>
      </c>
    </row>
    <row r="27" spans="1:8" x14ac:dyDescent="0.25">
      <c r="A27" s="4">
        <v>26</v>
      </c>
      <c r="B27">
        <v>12</v>
      </c>
      <c r="C27" t="s">
        <v>34</v>
      </c>
      <c r="D27" s="4" t="str">
        <f t="shared" si="0"/>
        <v>LT</v>
      </c>
      <c r="E27" t="s">
        <v>29</v>
      </c>
      <c r="F27" s="4" t="s">
        <v>16</v>
      </c>
      <c r="G27" s="4" t="s">
        <v>16</v>
      </c>
      <c r="H27" t="s">
        <v>17</v>
      </c>
    </row>
    <row r="28" spans="1:8" x14ac:dyDescent="0.25">
      <c r="A28" s="4">
        <v>27</v>
      </c>
      <c r="B28">
        <v>13</v>
      </c>
      <c r="C28" t="s">
        <v>34</v>
      </c>
      <c r="D28" s="4" t="str">
        <f t="shared" si="0"/>
        <v>UA</v>
      </c>
      <c r="E28" t="s">
        <v>30</v>
      </c>
      <c r="F28" s="4" t="s">
        <v>16</v>
      </c>
      <c r="G28" s="4" t="s">
        <v>16</v>
      </c>
    </row>
    <row r="29" spans="1:8" x14ac:dyDescent="0.25">
      <c r="A29" s="4">
        <v>28</v>
      </c>
      <c r="B29">
        <v>14</v>
      </c>
      <c r="C29" t="s">
        <v>34</v>
      </c>
      <c r="D29" s="4" t="str">
        <f t="shared" si="0"/>
        <v>KZ</v>
      </c>
      <c r="E29" t="s">
        <v>31</v>
      </c>
      <c r="F29" s="4" t="s">
        <v>16</v>
      </c>
      <c r="G29" s="4" t="s">
        <v>16</v>
      </c>
      <c r="H29" t="s">
        <v>17</v>
      </c>
    </row>
    <row r="30" spans="1:8" x14ac:dyDescent="0.25">
      <c r="A30" s="4">
        <v>29</v>
      </c>
      <c r="B30">
        <v>1</v>
      </c>
      <c r="C30" t="s">
        <v>49</v>
      </c>
      <c r="D30" s="4" t="str">
        <f t="shared" si="0"/>
        <v>UA</v>
      </c>
      <c r="E30" t="s">
        <v>35</v>
      </c>
      <c r="F30" s="4" t="s">
        <v>16</v>
      </c>
      <c r="G30" s="4" t="s">
        <v>16</v>
      </c>
    </row>
    <row r="31" spans="1:8" x14ac:dyDescent="0.25">
      <c r="A31" s="4">
        <v>30</v>
      </c>
      <c r="B31">
        <v>2</v>
      </c>
      <c r="C31" t="s">
        <v>49</v>
      </c>
      <c r="D31" s="4" t="str">
        <f t="shared" si="0"/>
        <v>RO</v>
      </c>
      <c r="E31" t="s">
        <v>36</v>
      </c>
      <c r="F31" s="4" t="s">
        <v>16</v>
      </c>
      <c r="G31" s="4" t="s">
        <v>16</v>
      </c>
    </row>
    <row r="32" spans="1:8" x14ac:dyDescent="0.25">
      <c r="A32" s="4">
        <v>31</v>
      </c>
      <c r="B32">
        <v>3</v>
      </c>
      <c r="C32" t="s">
        <v>49</v>
      </c>
      <c r="D32" s="4" t="str">
        <f t="shared" si="0"/>
        <v>LT</v>
      </c>
      <c r="E32" t="s">
        <v>37</v>
      </c>
      <c r="F32" s="4" t="s">
        <v>16</v>
      </c>
      <c r="G32" s="4" t="s">
        <v>16</v>
      </c>
    </row>
    <row r="33" spans="1:8" x14ac:dyDescent="0.25">
      <c r="A33" s="4">
        <v>32</v>
      </c>
      <c r="B33">
        <v>4</v>
      </c>
      <c r="C33" t="s">
        <v>49</v>
      </c>
      <c r="D33" s="4" t="str">
        <f t="shared" si="0"/>
        <v>NL</v>
      </c>
      <c r="E33" t="s">
        <v>38</v>
      </c>
      <c r="F33" s="4" t="s">
        <v>16</v>
      </c>
      <c r="G33" s="4" t="s">
        <v>16</v>
      </c>
    </row>
    <row r="34" spans="1:8" x14ac:dyDescent="0.25">
      <c r="A34" s="4">
        <v>33</v>
      </c>
      <c r="B34">
        <v>5</v>
      </c>
      <c r="C34" t="s">
        <v>49</v>
      </c>
      <c r="D34" s="4" t="str">
        <f t="shared" si="0"/>
        <v>NZ</v>
      </c>
      <c r="E34" t="s">
        <v>39</v>
      </c>
      <c r="F34" s="4" t="s">
        <v>16</v>
      </c>
      <c r="G34" s="4" t="s">
        <v>16</v>
      </c>
    </row>
    <row r="35" spans="1:8" x14ac:dyDescent="0.25">
      <c r="A35" s="4">
        <v>34</v>
      </c>
      <c r="B35">
        <v>6</v>
      </c>
      <c r="C35" t="s">
        <v>49</v>
      </c>
      <c r="D35" s="4" t="str">
        <f t="shared" si="0"/>
        <v>IT</v>
      </c>
      <c r="E35" t="s">
        <v>40</v>
      </c>
      <c r="F35" s="4" t="s">
        <v>16</v>
      </c>
      <c r="G35" s="4" t="s">
        <v>16</v>
      </c>
    </row>
    <row r="36" spans="1:8" x14ac:dyDescent="0.25">
      <c r="A36" s="4">
        <v>35</v>
      </c>
      <c r="B36">
        <v>7</v>
      </c>
      <c r="C36" t="s">
        <v>49</v>
      </c>
      <c r="D36" s="4" t="str">
        <f t="shared" si="0"/>
        <v>PT</v>
      </c>
      <c r="E36" t="s">
        <v>41</v>
      </c>
      <c r="F36" s="4" t="s">
        <v>16</v>
      </c>
      <c r="G36" s="4" t="s">
        <v>16</v>
      </c>
    </row>
    <row r="37" spans="1:8" x14ac:dyDescent="0.25">
      <c r="A37" s="4">
        <v>36</v>
      </c>
      <c r="B37">
        <v>8</v>
      </c>
      <c r="C37" t="s">
        <v>49</v>
      </c>
      <c r="D37" s="4" t="str">
        <f t="shared" si="0"/>
        <v>GR</v>
      </c>
      <c r="E37" t="s">
        <v>42</v>
      </c>
      <c r="F37" s="4" t="s">
        <v>16</v>
      </c>
      <c r="G37" s="4" t="s">
        <v>16</v>
      </c>
    </row>
    <row r="38" spans="1:8" x14ac:dyDescent="0.25">
      <c r="A38" s="4">
        <v>37</v>
      </c>
      <c r="B38">
        <v>9</v>
      </c>
      <c r="C38" t="s">
        <v>49</v>
      </c>
      <c r="D38" s="4" t="str">
        <f t="shared" si="0"/>
        <v>SE</v>
      </c>
      <c r="E38" t="s">
        <v>43</v>
      </c>
      <c r="F38" s="4" t="s">
        <v>16</v>
      </c>
      <c r="G38" s="4" t="s">
        <v>16</v>
      </c>
    </row>
    <row r="39" spans="1:8" x14ac:dyDescent="0.25">
      <c r="A39" s="4">
        <v>38</v>
      </c>
      <c r="B39">
        <v>10</v>
      </c>
      <c r="C39" t="s">
        <v>49</v>
      </c>
      <c r="D39" s="4" t="str">
        <f t="shared" si="0"/>
        <v>AU</v>
      </c>
      <c r="E39" t="s">
        <v>44</v>
      </c>
      <c r="F39" s="4" t="s">
        <v>16</v>
      </c>
      <c r="G39" s="4" t="s">
        <v>16</v>
      </c>
    </row>
    <row r="40" spans="1:8" x14ac:dyDescent="0.25">
      <c r="A40" s="4">
        <v>39</v>
      </c>
      <c r="B40">
        <v>11</v>
      </c>
      <c r="C40" t="s">
        <v>49</v>
      </c>
      <c r="D40" s="4" t="str">
        <f t="shared" si="0"/>
        <v>DK</v>
      </c>
      <c r="E40" t="s">
        <v>45</v>
      </c>
      <c r="F40" s="4" t="s">
        <v>16</v>
      </c>
      <c r="G40" s="4" t="s">
        <v>16</v>
      </c>
    </row>
    <row r="41" spans="1:8" x14ac:dyDescent="0.25">
      <c r="A41" s="4">
        <v>40</v>
      </c>
      <c r="B41">
        <v>12</v>
      </c>
      <c r="C41" t="s">
        <v>49</v>
      </c>
      <c r="D41" s="4" t="str">
        <f t="shared" si="0"/>
        <v>IL</v>
      </c>
      <c r="E41" t="s">
        <v>46</v>
      </c>
      <c r="F41" s="4" t="s">
        <v>16</v>
      </c>
      <c r="G41" s="4" t="s">
        <v>16</v>
      </c>
    </row>
    <row r="42" spans="1:8" x14ac:dyDescent="0.25">
      <c r="A42" s="4">
        <v>41</v>
      </c>
      <c r="B42">
        <v>13</v>
      </c>
      <c r="C42" t="s">
        <v>49</v>
      </c>
      <c r="D42" s="4" t="str">
        <f t="shared" si="0"/>
        <v>KZ</v>
      </c>
      <c r="E42" t="s">
        <v>47</v>
      </c>
      <c r="F42" s="4" t="s">
        <v>16</v>
      </c>
      <c r="G42" s="4" t="s">
        <v>16</v>
      </c>
      <c r="H42" t="s">
        <v>17</v>
      </c>
    </row>
    <row r="43" spans="1:8" x14ac:dyDescent="0.25">
      <c r="A43" s="4">
        <v>42</v>
      </c>
      <c r="B43">
        <v>14</v>
      </c>
      <c r="C43" t="s">
        <v>49</v>
      </c>
      <c r="D43" s="4" t="str">
        <f t="shared" si="0"/>
        <v>CA</v>
      </c>
      <c r="E43" t="s">
        <v>48</v>
      </c>
      <c r="F43" s="4" t="s">
        <v>16</v>
      </c>
      <c r="G43" s="4" t="s">
        <v>16</v>
      </c>
    </row>
    <row r="44" spans="1:8" x14ac:dyDescent="0.25">
      <c r="A44" s="4">
        <v>43</v>
      </c>
      <c r="B44">
        <v>1</v>
      </c>
      <c r="C44" t="s">
        <v>64</v>
      </c>
      <c r="D44" s="4" t="str">
        <f t="shared" si="0"/>
        <v>AU</v>
      </c>
      <c r="E44" t="s">
        <v>50</v>
      </c>
      <c r="F44" s="4" t="s">
        <v>16</v>
      </c>
      <c r="G44" s="4" t="s">
        <v>16</v>
      </c>
    </row>
    <row r="45" spans="1:8" x14ac:dyDescent="0.25">
      <c r="A45" s="4">
        <v>44</v>
      </c>
      <c r="B45">
        <v>2</v>
      </c>
      <c r="C45" t="s">
        <v>64</v>
      </c>
      <c r="D45" s="4" t="str">
        <f t="shared" si="0"/>
        <v>UA</v>
      </c>
      <c r="E45" t="s">
        <v>51</v>
      </c>
      <c r="F45" s="4" t="s">
        <v>16</v>
      </c>
      <c r="G45" s="4" t="s">
        <v>16</v>
      </c>
    </row>
    <row r="46" spans="1:8" x14ac:dyDescent="0.25">
      <c r="A46" s="4">
        <v>45</v>
      </c>
      <c r="B46">
        <v>3</v>
      </c>
      <c r="C46" t="s">
        <v>64</v>
      </c>
      <c r="D46" s="4" t="str">
        <f t="shared" si="0"/>
        <v>LT</v>
      </c>
      <c r="E46" t="s">
        <v>52</v>
      </c>
      <c r="F46" s="4" t="s">
        <v>16</v>
      </c>
      <c r="G46" s="4" t="s">
        <v>16</v>
      </c>
    </row>
    <row r="47" spans="1:8" x14ac:dyDescent="0.25">
      <c r="A47" s="4">
        <v>46</v>
      </c>
      <c r="B47">
        <v>4</v>
      </c>
      <c r="C47" t="s">
        <v>64</v>
      </c>
      <c r="D47" s="4" t="str">
        <f t="shared" si="0"/>
        <v>NL</v>
      </c>
      <c r="E47" t="s">
        <v>53</v>
      </c>
      <c r="F47" s="4" t="s">
        <v>16</v>
      </c>
      <c r="G47" s="4" t="s">
        <v>16</v>
      </c>
    </row>
    <row r="48" spans="1:8" x14ac:dyDescent="0.25">
      <c r="A48" s="4">
        <v>47</v>
      </c>
      <c r="B48">
        <v>5</v>
      </c>
      <c r="C48" t="s">
        <v>64</v>
      </c>
      <c r="D48" s="4" t="str">
        <f t="shared" si="0"/>
        <v>GR</v>
      </c>
      <c r="E48" t="s">
        <v>54</v>
      </c>
      <c r="F48" s="4" t="s">
        <v>16</v>
      </c>
      <c r="G48" s="4" t="s">
        <v>16</v>
      </c>
    </row>
    <row r="49" spans="1:8" x14ac:dyDescent="0.25">
      <c r="A49" s="4">
        <v>48</v>
      </c>
      <c r="B49">
        <v>6</v>
      </c>
      <c r="C49" t="s">
        <v>64</v>
      </c>
      <c r="D49" s="4" t="str">
        <f t="shared" si="0"/>
        <v>DK</v>
      </c>
      <c r="E49" t="s">
        <v>55</v>
      </c>
      <c r="F49" s="4" t="s">
        <v>16</v>
      </c>
      <c r="G49" s="4" t="s">
        <v>16</v>
      </c>
    </row>
    <row r="50" spans="1:8" x14ac:dyDescent="0.25">
      <c r="A50" s="4">
        <v>49</v>
      </c>
      <c r="B50">
        <v>7</v>
      </c>
      <c r="C50" t="s">
        <v>64</v>
      </c>
      <c r="D50" s="4" t="str">
        <f t="shared" si="0"/>
        <v>CA</v>
      </c>
      <c r="E50" t="s">
        <v>56</v>
      </c>
      <c r="F50" s="4" t="s">
        <v>16</v>
      </c>
      <c r="G50" s="4" t="s">
        <v>16</v>
      </c>
    </row>
    <row r="51" spans="1:8" x14ac:dyDescent="0.25">
      <c r="A51" s="4">
        <v>50</v>
      </c>
      <c r="B51">
        <v>8</v>
      </c>
      <c r="C51" t="s">
        <v>64</v>
      </c>
      <c r="D51" s="4" t="str">
        <f t="shared" si="0"/>
        <v>PT</v>
      </c>
      <c r="E51" t="s">
        <v>57</v>
      </c>
      <c r="F51" s="4" t="s">
        <v>16</v>
      </c>
      <c r="G51" s="4" t="s">
        <v>16</v>
      </c>
    </row>
    <row r="52" spans="1:8" x14ac:dyDescent="0.25">
      <c r="A52" s="4">
        <v>51</v>
      </c>
      <c r="B52">
        <v>9</v>
      </c>
      <c r="C52" t="s">
        <v>64</v>
      </c>
      <c r="D52" s="4" t="str">
        <f t="shared" si="0"/>
        <v>IL</v>
      </c>
      <c r="E52" t="s">
        <v>58</v>
      </c>
      <c r="F52" s="4" t="s">
        <v>16</v>
      </c>
      <c r="G52" s="4" t="s">
        <v>16</v>
      </c>
    </row>
    <row r="53" spans="1:8" x14ac:dyDescent="0.25">
      <c r="A53" s="4">
        <v>52</v>
      </c>
      <c r="B53">
        <v>10</v>
      </c>
      <c r="C53" t="s">
        <v>64</v>
      </c>
      <c r="D53" s="4" t="str">
        <f t="shared" si="0"/>
        <v>KZ</v>
      </c>
      <c r="E53" t="s">
        <v>59</v>
      </c>
      <c r="F53" s="4" t="s">
        <v>16</v>
      </c>
      <c r="G53" s="4" t="s">
        <v>16</v>
      </c>
      <c r="H53" t="s">
        <v>17</v>
      </c>
    </row>
    <row r="54" spans="1:8" x14ac:dyDescent="0.25">
      <c r="A54" s="4">
        <v>53</v>
      </c>
      <c r="B54">
        <v>11</v>
      </c>
      <c r="C54" t="s">
        <v>64</v>
      </c>
      <c r="D54" s="4" t="str">
        <f t="shared" si="0"/>
        <v>SE</v>
      </c>
      <c r="E54" t="s">
        <v>60</v>
      </c>
      <c r="F54" s="4" t="s">
        <v>16</v>
      </c>
      <c r="G54" s="4" t="s">
        <v>16</v>
      </c>
    </row>
    <row r="55" spans="1:8" x14ac:dyDescent="0.25">
      <c r="A55" s="4">
        <v>54</v>
      </c>
      <c r="B55">
        <v>12</v>
      </c>
      <c r="C55" t="s">
        <v>64</v>
      </c>
      <c r="D55" s="4" t="str">
        <f t="shared" si="0"/>
        <v>IT</v>
      </c>
      <c r="E55" t="s">
        <v>61</v>
      </c>
      <c r="F55" s="4" t="s">
        <v>16</v>
      </c>
      <c r="G55" s="4" t="s">
        <v>16</v>
      </c>
    </row>
    <row r="56" spans="1:8" x14ac:dyDescent="0.25">
      <c r="A56" s="4">
        <v>55</v>
      </c>
      <c r="B56">
        <v>13</v>
      </c>
      <c r="C56" t="s">
        <v>64</v>
      </c>
      <c r="D56" s="4" t="str">
        <f t="shared" si="0"/>
        <v>NZ</v>
      </c>
      <c r="E56" t="s">
        <v>62</v>
      </c>
      <c r="F56" s="4" t="s">
        <v>16</v>
      </c>
      <c r="G56" s="4" t="s">
        <v>16</v>
      </c>
    </row>
    <row r="57" spans="1:8" x14ac:dyDescent="0.25">
      <c r="A57" s="4">
        <v>56</v>
      </c>
      <c r="B57">
        <v>14</v>
      </c>
      <c r="C57" t="s">
        <v>64</v>
      </c>
      <c r="D57" s="4" t="str">
        <f t="shared" si="0"/>
        <v>RO</v>
      </c>
      <c r="E57" t="s">
        <v>63</v>
      </c>
      <c r="F57" s="4" t="s">
        <v>16</v>
      </c>
      <c r="G57" s="4" t="s">
        <v>16</v>
      </c>
    </row>
    <row r="58" spans="1:8" x14ac:dyDescent="0.25">
      <c r="A58" s="4">
        <v>57</v>
      </c>
      <c r="B58">
        <v>1</v>
      </c>
      <c r="C58" t="s">
        <v>79</v>
      </c>
      <c r="D58" s="4" t="str">
        <f t="shared" si="0"/>
        <v>AU</v>
      </c>
      <c r="E58" t="s">
        <v>65</v>
      </c>
      <c r="F58" s="4" t="s">
        <v>16</v>
      </c>
      <c r="G58" s="4" t="s">
        <v>16</v>
      </c>
    </row>
    <row r="59" spans="1:8" x14ac:dyDescent="0.25">
      <c r="A59" s="4">
        <v>58</v>
      </c>
      <c r="B59">
        <v>2</v>
      </c>
      <c r="C59" t="s">
        <v>79</v>
      </c>
      <c r="D59" s="4" t="str">
        <f t="shared" si="0"/>
        <v>UA</v>
      </c>
      <c r="E59" t="s">
        <v>66</v>
      </c>
      <c r="F59" s="4" t="s">
        <v>16</v>
      </c>
      <c r="G59" s="4" t="s">
        <v>16</v>
      </c>
    </row>
    <row r="60" spans="1:8" x14ac:dyDescent="0.25">
      <c r="A60" s="4">
        <v>59</v>
      </c>
      <c r="B60">
        <v>3</v>
      </c>
      <c r="C60" t="s">
        <v>79</v>
      </c>
      <c r="D60" s="4" t="str">
        <f t="shared" si="0"/>
        <v>LT</v>
      </c>
      <c r="E60" t="s">
        <v>67</v>
      </c>
      <c r="F60" s="4" t="s">
        <v>16</v>
      </c>
      <c r="G60" s="4" t="s">
        <v>16</v>
      </c>
    </row>
    <row r="61" spans="1:8" x14ac:dyDescent="0.25">
      <c r="A61" s="4">
        <v>60</v>
      </c>
      <c r="B61">
        <v>4</v>
      </c>
      <c r="C61" t="s">
        <v>79</v>
      </c>
      <c r="D61" s="4" t="str">
        <f t="shared" si="0"/>
        <v>NL</v>
      </c>
      <c r="E61" t="s">
        <v>68</v>
      </c>
      <c r="F61" s="4" t="s">
        <v>16</v>
      </c>
      <c r="G61" s="4" t="s">
        <v>16</v>
      </c>
    </row>
    <row r="62" spans="1:8" x14ac:dyDescent="0.25">
      <c r="A62" s="4">
        <v>61</v>
      </c>
      <c r="B62">
        <v>5</v>
      </c>
      <c r="C62" t="s">
        <v>79</v>
      </c>
      <c r="D62" s="4" t="str">
        <f t="shared" si="0"/>
        <v>GR</v>
      </c>
      <c r="E62" t="s">
        <v>69</v>
      </c>
      <c r="F62" s="4" t="s">
        <v>16</v>
      </c>
      <c r="G62" s="4" t="s">
        <v>16</v>
      </c>
    </row>
    <row r="63" spans="1:8" x14ac:dyDescent="0.25">
      <c r="A63" s="4">
        <v>62</v>
      </c>
      <c r="B63">
        <v>6</v>
      </c>
      <c r="C63" t="s">
        <v>79</v>
      </c>
      <c r="D63" s="4" t="str">
        <f t="shared" si="0"/>
        <v>DK</v>
      </c>
      <c r="E63" t="s">
        <v>70</v>
      </c>
      <c r="F63" s="4" t="s">
        <v>16</v>
      </c>
      <c r="G63" s="4" t="s">
        <v>16</v>
      </c>
    </row>
    <row r="64" spans="1:8" x14ac:dyDescent="0.25">
      <c r="A64" s="4">
        <v>63</v>
      </c>
      <c r="B64">
        <v>7</v>
      </c>
      <c r="C64" t="s">
        <v>79</v>
      </c>
      <c r="D64" s="4" t="str">
        <f t="shared" si="0"/>
        <v>CA</v>
      </c>
      <c r="E64" t="s">
        <v>71</v>
      </c>
      <c r="F64" s="4" t="s">
        <v>16</v>
      </c>
      <c r="G64" s="4" t="s">
        <v>16</v>
      </c>
    </row>
    <row r="65" spans="1:8" x14ac:dyDescent="0.25">
      <c r="A65" s="4">
        <v>64</v>
      </c>
      <c r="B65">
        <v>8</v>
      </c>
      <c r="C65" t="s">
        <v>79</v>
      </c>
      <c r="D65" s="4" t="str">
        <f t="shared" si="0"/>
        <v>PT</v>
      </c>
      <c r="E65" t="s">
        <v>72</v>
      </c>
      <c r="F65" s="4" t="s">
        <v>16</v>
      </c>
      <c r="G65" s="4" t="s">
        <v>16</v>
      </c>
    </row>
    <row r="66" spans="1:8" x14ac:dyDescent="0.25">
      <c r="A66" s="4">
        <v>65</v>
      </c>
      <c r="B66">
        <v>9</v>
      </c>
      <c r="C66" t="s">
        <v>79</v>
      </c>
      <c r="D66" s="4" t="str">
        <f t="shared" si="0"/>
        <v>IL</v>
      </c>
      <c r="E66" t="s">
        <v>73</v>
      </c>
      <c r="F66" s="4" t="s">
        <v>16</v>
      </c>
      <c r="G66" s="4" t="s">
        <v>16</v>
      </c>
    </row>
    <row r="67" spans="1:8" x14ac:dyDescent="0.25">
      <c r="A67" s="4">
        <v>66</v>
      </c>
      <c r="B67">
        <v>10</v>
      </c>
      <c r="C67" t="s">
        <v>79</v>
      </c>
      <c r="D67" s="4" t="str">
        <f t="shared" ref="D67:D130" si="1">LEFT(E67, FIND("_", E67) - 1)</f>
        <v>KZ</v>
      </c>
      <c r="E67" t="s">
        <v>74</v>
      </c>
      <c r="F67" s="4" t="s">
        <v>16</v>
      </c>
      <c r="G67" s="4" t="s">
        <v>16</v>
      </c>
      <c r="H67" t="s">
        <v>17</v>
      </c>
    </row>
    <row r="68" spans="1:8" x14ac:dyDescent="0.25">
      <c r="A68" s="4">
        <v>67</v>
      </c>
      <c r="B68">
        <v>11</v>
      </c>
      <c r="C68" t="s">
        <v>79</v>
      </c>
      <c r="D68" s="4" t="str">
        <f t="shared" si="1"/>
        <v>SE</v>
      </c>
      <c r="E68" t="s">
        <v>75</v>
      </c>
      <c r="F68" s="4" t="s">
        <v>16</v>
      </c>
      <c r="G68" s="4" t="s">
        <v>16</v>
      </c>
    </row>
    <row r="69" spans="1:8" x14ac:dyDescent="0.25">
      <c r="A69" s="4">
        <v>68</v>
      </c>
      <c r="B69">
        <v>12</v>
      </c>
      <c r="C69" t="s">
        <v>79</v>
      </c>
      <c r="D69" s="4" t="str">
        <f t="shared" si="1"/>
        <v>IT</v>
      </c>
      <c r="E69" t="s">
        <v>76</v>
      </c>
      <c r="F69" s="4" t="s">
        <v>16</v>
      </c>
      <c r="G69" s="4" t="s">
        <v>16</v>
      </c>
    </row>
    <row r="70" spans="1:8" x14ac:dyDescent="0.25">
      <c r="A70" s="4">
        <v>69</v>
      </c>
      <c r="B70">
        <v>13</v>
      </c>
      <c r="C70" t="s">
        <v>79</v>
      </c>
      <c r="D70" s="4" t="str">
        <f t="shared" si="1"/>
        <v>NZ</v>
      </c>
      <c r="E70" t="s">
        <v>77</v>
      </c>
      <c r="F70" s="4" t="s">
        <v>16</v>
      </c>
      <c r="G70" s="4" t="s">
        <v>16</v>
      </c>
    </row>
    <row r="71" spans="1:8" x14ac:dyDescent="0.25">
      <c r="A71" s="4">
        <v>70</v>
      </c>
      <c r="B71">
        <v>14</v>
      </c>
      <c r="C71" t="s">
        <v>79</v>
      </c>
      <c r="D71" s="4" t="str">
        <f t="shared" si="1"/>
        <v>RO</v>
      </c>
      <c r="E71" t="s">
        <v>78</v>
      </c>
      <c r="F71" s="4" t="s">
        <v>16</v>
      </c>
      <c r="G71" s="4" t="s">
        <v>16</v>
      </c>
    </row>
    <row r="72" spans="1:8" x14ac:dyDescent="0.25">
      <c r="A72" s="4">
        <v>71</v>
      </c>
      <c r="B72">
        <v>1</v>
      </c>
      <c r="C72" t="s">
        <v>94</v>
      </c>
      <c r="D72" s="4" t="str">
        <f t="shared" si="1"/>
        <v>AU</v>
      </c>
      <c r="E72" t="s">
        <v>80</v>
      </c>
      <c r="F72" s="4" t="s">
        <v>16</v>
      </c>
      <c r="G72" s="4" t="s">
        <v>16</v>
      </c>
    </row>
    <row r="73" spans="1:8" x14ac:dyDescent="0.25">
      <c r="A73" s="4">
        <v>72</v>
      </c>
      <c r="B73">
        <v>2</v>
      </c>
      <c r="C73" t="s">
        <v>94</v>
      </c>
      <c r="D73" s="4" t="str">
        <f t="shared" si="1"/>
        <v>UA</v>
      </c>
      <c r="E73" t="s">
        <v>81</v>
      </c>
      <c r="F73" s="4" t="s">
        <v>16</v>
      </c>
      <c r="G73" s="4" t="s">
        <v>16</v>
      </c>
    </row>
    <row r="74" spans="1:8" x14ac:dyDescent="0.25">
      <c r="A74" s="4">
        <v>73</v>
      </c>
      <c r="B74">
        <v>3</v>
      </c>
      <c r="C74" t="s">
        <v>94</v>
      </c>
      <c r="D74" s="4" t="str">
        <f t="shared" si="1"/>
        <v>LT</v>
      </c>
      <c r="E74" t="s">
        <v>82</v>
      </c>
      <c r="F74" s="4" t="s">
        <v>16</v>
      </c>
      <c r="G74" s="4" t="s">
        <v>16</v>
      </c>
    </row>
    <row r="75" spans="1:8" x14ac:dyDescent="0.25">
      <c r="A75" s="4">
        <v>74</v>
      </c>
      <c r="B75">
        <v>4</v>
      </c>
      <c r="C75" t="s">
        <v>94</v>
      </c>
      <c r="D75" s="4" t="str">
        <f t="shared" si="1"/>
        <v>NL</v>
      </c>
      <c r="E75" t="s">
        <v>83</v>
      </c>
      <c r="F75" s="4" t="s">
        <v>16</v>
      </c>
      <c r="G75" s="4" t="s">
        <v>16</v>
      </c>
    </row>
    <row r="76" spans="1:8" x14ac:dyDescent="0.25">
      <c r="A76" s="4">
        <v>75</v>
      </c>
      <c r="B76">
        <v>5</v>
      </c>
      <c r="C76" t="s">
        <v>94</v>
      </c>
      <c r="D76" s="4" t="str">
        <f t="shared" si="1"/>
        <v>GR</v>
      </c>
      <c r="E76" t="s">
        <v>84</v>
      </c>
      <c r="F76" s="4" t="s">
        <v>16</v>
      </c>
      <c r="G76" s="4" t="s">
        <v>16</v>
      </c>
    </row>
    <row r="77" spans="1:8" x14ac:dyDescent="0.25">
      <c r="A77" s="4">
        <v>76</v>
      </c>
      <c r="B77">
        <v>6</v>
      </c>
      <c r="C77" t="s">
        <v>94</v>
      </c>
      <c r="D77" s="4" t="str">
        <f t="shared" si="1"/>
        <v>DK</v>
      </c>
      <c r="E77" t="s">
        <v>85</v>
      </c>
      <c r="F77" s="4" t="s">
        <v>16</v>
      </c>
      <c r="G77" s="4" t="s">
        <v>16</v>
      </c>
    </row>
    <row r="78" spans="1:8" x14ac:dyDescent="0.25">
      <c r="A78" s="4">
        <v>77</v>
      </c>
      <c r="B78">
        <v>7</v>
      </c>
      <c r="C78" t="s">
        <v>94</v>
      </c>
      <c r="D78" s="4" t="str">
        <f t="shared" si="1"/>
        <v>CA</v>
      </c>
      <c r="E78" t="s">
        <v>86</v>
      </c>
      <c r="F78" s="4" t="s">
        <v>16</v>
      </c>
      <c r="G78" s="4" t="s">
        <v>16</v>
      </c>
    </row>
    <row r="79" spans="1:8" x14ac:dyDescent="0.25">
      <c r="A79" s="4">
        <v>78</v>
      </c>
      <c r="B79">
        <v>8</v>
      </c>
      <c r="C79" t="s">
        <v>94</v>
      </c>
      <c r="D79" s="4" t="str">
        <f t="shared" si="1"/>
        <v>PT</v>
      </c>
      <c r="E79" t="s">
        <v>87</v>
      </c>
      <c r="F79" s="4" t="s">
        <v>16</v>
      </c>
      <c r="G79" s="4" t="s">
        <v>16</v>
      </c>
    </row>
    <row r="80" spans="1:8" x14ac:dyDescent="0.25">
      <c r="A80" s="4">
        <v>79</v>
      </c>
      <c r="B80">
        <v>9</v>
      </c>
      <c r="C80" t="s">
        <v>94</v>
      </c>
      <c r="D80" s="4" t="str">
        <f t="shared" si="1"/>
        <v>IL</v>
      </c>
      <c r="E80" t="s">
        <v>88</v>
      </c>
      <c r="F80" s="4" t="s">
        <v>16</v>
      </c>
      <c r="G80" s="4" t="s">
        <v>16</v>
      </c>
    </row>
    <row r="81" spans="1:8" x14ac:dyDescent="0.25">
      <c r="A81" s="4">
        <v>80</v>
      </c>
      <c r="B81">
        <v>10</v>
      </c>
      <c r="C81" t="s">
        <v>94</v>
      </c>
      <c r="D81" s="4" t="str">
        <f t="shared" si="1"/>
        <v>KZ</v>
      </c>
      <c r="E81" t="s">
        <v>89</v>
      </c>
      <c r="F81" s="4" t="s">
        <v>16</v>
      </c>
      <c r="G81" s="4" t="s">
        <v>16</v>
      </c>
      <c r="H81" t="s">
        <v>17</v>
      </c>
    </row>
    <row r="82" spans="1:8" x14ac:dyDescent="0.25">
      <c r="A82" s="4">
        <v>81</v>
      </c>
      <c r="B82">
        <v>11</v>
      </c>
      <c r="C82" t="s">
        <v>94</v>
      </c>
      <c r="D82" s="4" t="str">
        <f t="shared" si="1"/>
        <v>SE</v>
      </c>
      <c r="E82" t="s">
        <v>90</v>
      </c>
      <c r="F82" s="4" t="s">
        <v>16</v>
      </c>
      <c r="G82" s="4" t="s">
        <v>16</v>
      </c>
      <c r="H82" t="s">
        <v>17</v>
      </c>
    </row>
    <row r="83" spans="1:8" x14ac:dyDescent="0.25">
      <c r="A83" s="4">
        <v>82</v>
      </c>
      <c r="B83">
        <v>12</v>
      </c>
      <c r="C83" t="s">
        <v>94</v>
      </c>
      <c r="D83" s="4" t="str">
        <f t="shared" si="1"/>
        <v>IT</v>
      </c>
      <c r="E83" t="s">
        <v>91</v>
      </c>
      <c r="F83" s="4" t="s">
        <v>16</v>
      </c>
      <c r="G83" s="4" t="s">
        <v>16</v>
      </c>
    </row>
    <row r="84" spans="1:8" x14ac:dyDescent="0.25">
      <c r="A84" s="4">
        <v>83</v>
      </c>
      <c r="B84">
        <v>13</v>
      </c>
      <c r="C84" t="s">
        <v>94</v>
      </c>
      <c r="D84" s="4" t="str">
        <f t="shared" si="1"/>
        <v>NZ</v>
      </c>
      <c r="E84" t="s">
        <v>92</v>
      </c>
      <c r="F84" s="4" t="s">
        <v>16</v>
      </c>
      <c r="G84" s="4" t="s">
        <v>16</v>
      </c>
    </row>
    <row r="85" spans="1:8" x14ac:dyDescent="0.25">
      <c r="A85" s="4">
        <v>84</v>
      </c>
      <c r="B85">
        <v>14</v>
      </c>
      <c r="C85" t="s">
        <v>94</v>
      </c>
      <c r="D85" s="4" t="str">
        <f t="shared" si="1"/>
        <v>RO</v>
      </c>
      <c r="E85" t="s">
        <v>93</v>
      </c>
      <c r="F85" s="4" t="s">
        <v>16</v>
      </c>
      <c r="G85" s="4" t="s">
        <v>16</v>
      </c>
      <c r="H85" t="s">
        <v>17</v>
      </c>
    </row>
    <row r="86" spans="1:8" x14ac:dyDescent="0.25">
      <c r="A86" s="4">
        <v>85</v>
      </c>
      <c r="B86">
        <v>1</v>
      </c>
      <c r="C86" t="s">
        <v>95</v>
      </c>
      <c r="D86" s="4" t="str">
        <f t="shared" si="1"/>
        <v>AU</v>
      </c>
      <c r="E86" t="s">
        <v>96</v>
      </c>
      <c r="F86" s="4" t="s">
        <v>16</v>
      </c>
      <c r="G86" s="4" t="s">
        <v>16</v>
      </c>
      <c r="H86" t="s">
        <v>17</v>
      </c>
    </row>
    <row r="87" spans="1:8" x14ac:dyDescent="0.25">
      <c r="A87" s="4">
        <v>86</v>
      </c>
      <c r="B87">
        <v>2</v>
      </c>
      <c r="C87" t="s">
        <v>95</v>
      </c>
      <c r="D87" s="4" t="str">
        <f t="shared" si="1"/>
        <v>UA</v>
      </c>
      <c r="E87" t="s">
        <v>97</v>
      </c>
      <c r="F87" s="4" t="s">
        <v>16</v>
      </c>
      <c r="G87" s="4" t="s">
        <v>16</v>
      </c>
    </row>
    <row r="88" spans="1:8" x14ac:dyDescent="0.25">
      <c r="A88" s="4">
        <v>87</v>
      </c>
      <c r="B88">
        <v>3</v>
      </c>
      <c r="C88" t="s">
        <v>95</v>
      </c>
      <c r="D88" s="4" t="str">
        <f t="shared" si="1"/>
        <v>LT</v>
      </c>
      <c r="E88" t="s">
        <v>98</v>
      </c>
      <c r="F88" s="4" t="s">
        <v>16</v>
      </c>
      <c r="G88" s="4" t="s">
        <v>16</v>
      </c>
    </row>
    <row r="89" spans="1:8" x14ac:dyDescent="0.25">
      <c r="A89" s="4">
        <v>88</v>
      </c>
      <c r="B89">
        <v>4</v>
      </c>
      <c r="C89" t="s">
        <v>95</v>
      </c>
      <c r="D89" s="4" t="str">
        <f t="shared" si="1"/>
        <v>NL</v>
      </c>
      <c r="E89" t="s">
        <v>99</v>
      </c>
      <c r="F89" s="4" t="s">
        <v>16</v>
      </c>
      <c r="G89" s="4" t="s">
        <v>16</v>
      </c>
    </row>
    <row r="90" spans="1:8" x14ac:dyDescent="0.25">
      <c r="A90" s="4">
        <v>89</v>
      </c>
      <c r="B90">
        <v>5</v>
      </c>
      <c r="C90" t="s">
        <v>95</v>
      </c>
      <c r="D90" s="4" t="str">
        <f t="shared" si="1"/>
        <v>GR</v>
      </c>
      <c r="E90" t="s">
        <v>100</v>
      </c>
      <c r="F90" s="4" t="s">
        <v>16</v>
      </c>
      <c r="G90" s="4" t="s">
        <v>16</v>
      </c>
    </row>
    <row r="91" spans="1:8" x14ac:dyDescent="0.25">
      <c r="A91" s="4">
        <v>90</v>
      </c>
      <c r="B91">
        <v>6</v>
      </c>
      <c r="C91" t="s">
        <v>95</v>
      </c>
      <c r="D91" s="4" t="str">
        <f t="shared" si="1"/>
        <v>DK</v>
      </c>
      <c r="E91" t="s">
        <v>101</v>
      </c>
      <c r="F91" s="4" t="s">
        <v>16</v>
      </c>
      <c r="G91" s="4" t="s">
        <v>16</v>
      </c>
    </row>
    <row r="92" spans="1:8" x14ac:dyDescent="0.25">
      <c r="A92" s="4">
        <v>91</v>
      </c>
      <c r="B92">
        <v>7</v>
      </c>
      <c r="C92" t="s">
        <v>95</v>
      </c>
      <c r="D92" s="4" t="str">
        <f t="shared" si="1"/>
        <v>CA</v>
      </c>
      <c r="E92" t="s">
        <v>102</v>
      </c>
      <c r="F92" s="4" t="s">
        <v>16</v>
      </c>
      <c r="G92" s="4" t="s">
        <v>16</v>
      </c>
    </row>
    <row r="93" spans="1:8" x14ac:dyDescent="0.25">
      <c r="A93" s="4">
        <v>92</v>
      </c>
      <c r="B93">
        <v>8</v>
      </c>
      <c r="C93" t="s">
        <v>95</v>
      </c>
      <c r="D93" s="4" t="str">
        <f t="shared" si="1"/>
        <v>PT</v>
      </c>
      <c r="E93" t="s">
        <v>103</v>
      </c>
      <c r="F93" s="4" t="s">
        <v>16</v>
      </c>
      <c r="G93" s="4" t="s">
        <v>16</v>
      </c>
    </row>
    <row r="94" spans="1:8" x14ac:dyDescent="0.25">
      <c r="A94" s="4">
        <v>93</v>
      </c>
      <c r="B94">
        <v>9</v>
      </c>
      <c r="C94" t="s">
        <v>95</v>
      </c>
      <c r="D94" s="4" t="str">
        <f t="shared" si="1"/>
        <v>IL</v>
      </c>
      <c r="E94" t="s">
        <v>104</v>
      </c>
      <c r="F94" s="4" t="s">
        <v>16</v>
      </c>
      <c r="G94" s="4" t="s">
        <v>16</v>
      </c>
    </row>
    <row r="95" spans="1:8" x14ac:dyDescent="0.25">
      <c r="A95" s="4">
        <v>94</v>
      </c>
      <c r="B95">
        <v>10</v>
      </c>
      <c r="C95" t="s">
        <v>95</v>
      </c>
      <c r="D95" s="4" t="str">
        <f t="shared" si="1"/>
        <v>KZ</v>
      </c>
      <c r="E95" t="s">
        <v>105</v>
      </c>
      <c r="F95" s="4" t="s">
        <v>16</v>
      </c>
      <c r="G95" s="4" t="s">
        <v>16</v>
      </c>
      <c r="H95" t="s">
        <v>17</v>
      </c>
    </row>
    <row r="96" spans="1:8" x14ac:dyDescent="0.25">
      <c r="A96" s="4">
        <v>95</v>
      </c>
      <c r="B96">
        <v>11</v>
      </c>
      <c r="C96" t="s">
        <v>95</v>
      </c>
      <c r="D96" s="4" t="str">
        <f t="shared" si="1"/>
        <v>SE</v>
      </c>
      <c r="E96" t="s">
        <v>106</v>
      </c>
      <c r="F96" s="4" t="s">
        <v>16</v>
      </c>
      <c r="G96" s="4" t="s">
        <v>16</v>
      </c>
    </row>
    <row r="97" spans="1:8" x14ac:dyDescent="0.25">
      <c r="A97" s="4">
        <v>96</v>
      </c>
      <c r="B97">
        <v>12</v>
      </c>
      <c r="C97" t="s">
        <v>95</v>
      </c>
      <c r="D97" s="4" t="str">
        <f t="shared" si="1"/>
        <v>IT</v>
      </c>
      <c r="E97" t="s">
        <v>107</v>
      </c>
      <c r="F97" s="4" t="s">
        <v>16</v>
      </c>
      <c r="G97" s="4" t="s">
        <v>16</v>
      </c>
    </row>
    <row r="98" spans="1:8" x14ac:dyDescent="0.25">
      <c r="A98" s="4">
        <v>97</v>
      </c>
      <c r="B98">
        <v>13</v>
      </c>
      <c r="C98" t="s">
        <v>95</v>
      </c>
      <c r="D98" s="4" t="str">
        <f t="shared" si="1"/>
        <v>NZ</v>
      </c>
      <c r="E98" t="s">
        <v>108</v>
      </c>
      <c r="F98" s="4" t="s">
        <v>16</v>
      </c>
      <c r="G98" s="4" t="s">
        <v>16</v>
      </c>
    </row>
    <row r="99" spans="1:8" x14ac:dyDescent="0.25">
      <c r="A99" s="4">
        <v>98</v>
      </c>
      <c r="B99">
        <v>14</v>
      </c>
      <c r="C99" t="s">
        <v>95</v>
      </c>
      <c r="D99" s="4" t="str">
        <f t="shared" si="1"/>
        <v>RO</v>
      </c>
      <c r="E99" t="s">
        <v>109</v>
      </c>
      <c r="F99" s="4" t="s">
        <v>16</v>
      </c>
      <c r="G99" s="4" t="s">
        <v>16</v>
      </c>
    </row>
    <row r="100" spans="1:8" x14ac:dyDescent="0.25">
      <c r="A100" s="4">
        <v>99</v>
      </c>
      <c r="B100">
        <v>1</v>
      </c>
      <c r="C100" t="s">
        <v>110</v>
      </c>
      <c r="D100" s="4" t="str">
        <f t="shared" si="1"/>
        <v>AU</v>
      </c>
      <c r="E100" t="s">
        <v>111</v>
      </c>
      <c r="F100" s="4" t="s">
        <v>16</v>
      </c>
      <c r="G100" s="4" t="s">
        <v>16</v>
      </c>
    </row>
    <row r="101" spans="1:8" x14ac:dyDescent="0.25">
      <c r="A101" s="4">
        <v>100</v>
      </c>
      <c r="B101">
        <v>2</v>
      </c>
      <c r="C101" t="s">
        <v>110</v>
      </c>
      <c r="D101" s="4" t="str">
        <f t="shared" si="1"/>
        <v>UA</v>
      </c>
      <c r="E101" t="s">
        <v>112</v>
      </c>
      <c r="F101" s="4" t="s">
        <v>16</v>
      </c>
      <c r="G101" s="4" t="s">
        <v>16</v>
      </c>
      <c r="H101" t="s">
        <v>17</v>
      </c>
    </row>
    <row r="102" spans="1:8" x14ac:dyDescent="0.25">
      <c r="A102" s="4">
        <v>101</v>
      </c>
      <c r="B102">
        <v>3</v>
      </c>
      <c r="C102" t="s">
        <v>110</v>
      </c>
      <c r="D102" s="4" t="str">
        <f t="shared" si="1"/>
        <v>LT</v>
      </c>
      <c r="E102" t="s">
        <v>113</v>
      </c>
      <c r="F102" s="4" t="s">
        <v>16</v>
      </c>
      <c r="G102" s="4" t="s">
        <v>16</v>
      </c>
    </row>
    <row r="103" spans="1:8" x14ac:dyDescent="0.25">
      <c r="A103" s="4">
        <v>102</v>
      </c>
      <c r="B103">
        <v>4</v>
      </c>
      <c r="C103" t="s">
        <v>110</v>
      </c>
      <c r="D103" s="4" t="str">
        <f t="shared" si="1"/>
        <v>NL</v>
      </c>
      <c r="E103" t="s">
        <v>114</v>
      </c>
      <c r="F103" s="4" t="s">
        <v>16</v>
      </c>
      <c r="G103" s="4" t="s">
        <v>16</v>
      </c>
    </row>
    <row r="104" spans="1:8" x14ac:dyDescent="0.25">
      <c r="A104" s="4">
        <v>103</v>
      </c>
      <c r="B104">
        <v>5</v>
      </c>
      <c r="C104" t="s">
        <v>110</v>
      </c>
      <c r="D104" s="4" t="str">
        <f t="shared" si="1"/>
        <v>GR</v>
      </c>
      <c r="E104" t="s">
        <v>115</v>
      </c>
      <c r="F104" s="4" t="s">
        <v>16</v>
      </c>
      <c r="G104" s="4" t="s">
        <v>16</v>
      </c>
    </row>
    <row r="105" spans="1:8" x14ac:dyDescent="0.25">
      <c r="A105" s="4">
        <v>104</v>
      </c>
      <c r="B105">
        <v>6</v>
      </c>
      <c r="C105" t="s">
        <v>110</v>
      </c>
      <c r="D105" s="4" t="str">
        <f t="shared" si="1"/>
        <v>DK</v>
      </c>
      <c r="E105" t="s">
        <v>116</v>
      </c>
      <c r="F105" s="4" t="s">
        <v>16</v>
      </c>
      <c r="G105" s="4" t="s">
        <v>16</v>
      </c>
      <c r="H105" t="s">
        <v>17</v>
      </c>
    </row>
    <row r="106" spans="1:8" x14ac:dyDescent="0.25">
      <c r="A106" s="4">
        <v>105</v>
      </c>
      <c r="B106">
        <v>7</v>
      </c>
      <c r="C106" t="s">
        <v>110</v>
      </c>
      <c r="D106" s="4" t="str">
        <f t="shared" si="1"/>
        <v>CA</v>
      </c>
      <c r="E106" t="s">
        <v>117</v>
      </c>
      <c r="F106" s="4" t="s">
        <v>16</v>
      </c>
      <c r="G106" s="4" t="s">
        <v>16</v>
      </c>
    </row>
    <row r="107" spans="1:8" x14ac:dyDescent="0.25">
      <c r="A107" s="4">
        <v>106</v>
      </c>
      <c r="B107">
        <v>8</v>
      </c>
      <c r="C107" t="s">
        <v>110</v>
      </c>
      <c r="D107" s="4" t="str">
        <f t="shared" si="1"/>
        <v>PT</v>
      </c>
      <c r="E107" t="s">
        <v>118</v>
      </c>
      <c r="F107" s="4" t="s">
        <v>16</v>
      </c>
      <c r="G107" s="4" t="s">
        <v>16</v>
      </c>
      <c r="H107" t="s">
        <v>17</v>
      </c>
    </row>
    <row r="108" spans="1:8" x14ac:dyDescent="0.25">
      <c r="A108" s="4">
        <v>107</v>
      </c>
      <c r="B108">
        <v>9</v>
      </c>
      <c r="C108" t="s">
        <v>110</v>
      </c>
      <c r="D108" s="4" t="str">
        <f t="shared" si="1"/>
        <v>IL</v>
      </c>
      <c r="E108" t="s">
        <v>119</v>
      </c>
      <c r="F108" s="4" t="s">
        <v>16</v>
      </c>
      <c r="G108" s="4" t="s">
        <v>16</v>
      </c>
    </row>
    <row r="109" spans="1:8" x14ac:dyDescent="0.25">
      <c r="A109" s="4">
        <v>108</v>
      </c>
      <c r="B109">
        <v>10</v>
      </c>
      <c r="C109" t="s">
        <v>110</v>
      </c>
      <c r="D109" s="4" t="str">
        <f t="shared" si="1"/>
        <v>KZ</v>
      </c>
      <c r="E109" t="s">
        <v>120</v>
      </c>
      <c r="F109" s="4" t="s">
        <v>16</v>
      </c>
      <c r="G109" s="4" t="s">
        <v>16</v>
      </c>
      <c r="H109" t="s">
        <v>17</v>
      </c>
    </row>
    <row r="110" spans="1:8" x14ac:dyDescent="0.25">
      <c r="A110" s="4">
        <v>109</v>
      </c>
      <c r="B110">
        <v>11</v>
      </c>
      <c r="C110" t="s">
        <v>110</v>
      </c>
      <c r="D110" s="4" t="str">
        <f t="shared" si="1"/>
        <v>SE</v>
      </c>
      <c r="E110" t="s">
        <v>121</v>
      </c>
      <c r="F110" s="4" t="s">
        <v>16</v>
      </c>
      <c r="G110" s="4" t="s">
        <v>16</v>
      </c>
      <c r="H110" t="s">
        <v>17</v>
      </c>
    </row>
    <row r="111" spans="1:8" x14ac:dyDescent="0.25">
      <c r="A111" s="4">
        <v>110</v>
      </c>
      <c r="B111">
        <v>12</v>
      </c>
      <c r="C111" t="s">
        <v>110</v>
      </c>
      <c r="D111" s="4" t="str">
        <f t="shared" si="1"/>
        <v>IT</v>
      </c>
      <c r="E111" t="s">
        <v>122</v>
      </c>
      <c r="F111" s="4" t="s">
        <v>16</v>
      </c>
      <c r="G111" s="4" t="s">
        <v>16</v>
      </c>
    </row>
    <row r="112" spans="1:8" x14ac:dyDescent="0.25">
      <c r="A112" s="4">
        <v>111</v>
      </c>
      <c r="B112">
        <v>13</v>
      </c>
      <c r="C112" t="s">
        <v>110</v>
      </c>
      <c r="D112" s="4" t="str">
        <f t="shared" si="1"/>
        <v>NZ</v>
      </c>
      <c r="E112" t="s">
        <v>123</v>
      </c>
      <c r="F112" s="4" t="s">
        <v>16</v>
      </c>
      <c r="G112" s="4" t="s">
        <v>16</v>
      </c>
    </row>
    <row r="113" spans="1:8" x14ac:dyDescent="0.25">
      <c r="A113" s="4">
        <v>112</v>
      </c>
      <c r="B113">
        <v>14</v>
      </c>
      <c r="C113" t="s">
        <v>110</v>
      </c>
      <c r="D113" s="4" t="str">
        <f t="shared" si="1"/>
        <v>RO</v>
      </c>
      <c r="E113" t="s">
        <v>124</v>
      </c>
      <c r="F113" s="4" t="s">
        <v>16</v>
      </c>
      <c r="G113" s="4" t="s">
        <v>16</v>
      </c>
      <c r="H113" t="s">
        <v>17</v>
      </c>
    </row>
    <row r="114" spans="1:8" x14ac:dyDescent="0.25">
      <c r="A114" s="4">
        <v>113</v>
      </c>
      <c r="B114">
        <v>1</v>
      </c>
      <c r="C114" t="s">
        <v>139</v>
      </c>
      <c r="D114" s="4" t="str">
        <f t="shared" si="1"/>
        <v>AU</v>
      </c>
      <c r="E114" t="s">
        <v>125</v>
      </c>
      <c r="F114" s="4" t="s">
        <v>16</v>
      </c>
      <c r="G114" s="4" t="s">
        <v>16</v>
      </c>
    </row>
    <row r="115" spans="1:8" x14ac:dyDescent="0.25">
      <c r="A115" s="4">
        <v>114</v>
      </c>
      <c r="B115">
        <v>2</v>
      </c>
      <c r="C115" t="s">
        <v>139</v>
      </c>
      <c r="D115" s="4" t="str">
        <f t="shared" si="1"/>
        <v>UA</v>
      </c>
      <c r="E115" t="s">
        <v>126</v>
      </c>
      <c r="F115" s="4" t="s">
        <v>16</v>
      </c>
      <c r="G115" s="4" t="s">
        <v>16</v>
      </c>
      <c r="H115" t="s">
        <v>17</v>
      </c>
    </row>
    <row r="116" spans="1:8" x14ac:dyDescent="0.25">
      <c r="A116" s="4">
        <v>115</v>
      </c>
      <c r="B116">
        <v>3</v>
      </c>
      <c r="C116" t="s">
        <v>139</v>
      </c>
      <c r="D116" s="4" t="str">
        <f t="shared" si="1"/>
        <v>LT</v>
      </c>
      <c r="E116" t="s">
        <v>127</v>
      </c>
      <c r="F116" s="4" t="s">
        <v>16</v>
      </c>
      <c r="G116" s="4" t="s">
        <v>16</v>
      </c>
    </row>
    <row r="117" spans="1:8" x14ac:dyDescent="0.25">
      <c r="A117" s="4">
        <v>116</v>
      </c>
      <c r="B117">
        <v>4</v>
      </c>
      <c r="C117" t="s">
        <v>139</v>
      </c>
      <c r="D117" s="4" t="str">
        <f t="shared" si="1"/>
        <v>NL</v>
      </c>
      <c r="E117" t="s">
        <v>128</v>
      </c>
      <c r="F117" s="4" t="s">
        <v>16</v>
      </c>
      <c r="G117" s="4" t="s">
        <v>16</v>
      </c>
    </row>
    <row r="118" spans="1:8" x14ac:dyDescent="0.25">
      <c r="A118" s="4">
        <v>117</v>
      </c>
      <c r="B118">
        <v>5</v>
      </c>
      <c r="C118" t="s">
        <v>139</v>
      </c>
      <c r="D118" s="4" t="str">
        <f t="shared" si="1"/>
        <v>GR</v>
      </c>
      <c r="E118" t="s">
        <v>129</v>
      </c>
      <c r="F118" s="4" t="s">
        <v>16</v>
      </c>
      <c r="G118" s="4" t="s">
        <v>16</v>
      </c>
    </row>
    <row r="119" spans="1:8" x14ac:dyDescent="0.25">
      <c r="A119" s="4">
        <v>118</v>
      </c>
      <c r="B119">
        <v>6</v>
      </c>
      <c r="C119" t="s">
        <v>139</v>
      </c>
      <c r="D119" s="4" t="str">
        <f t="shared" si="1"/>
        <v>DK</v>
      </c>
      <c r="E119" t="s">
        <v>130</v>
      </c>
      <c r="F119" s="4" t="s">
        <v>16</v>
      </c>
      <c r="G119" s="4" t="s">
        <v>16</v>
      </c>
    </row>
    <row r="120" spans="1:8" x14ac:dyDescent="0.25">
      <c r="A120" s="4">
        <v>119</v>
      </c>
      <c r="B120">
        <v>7</v>
      </c>
      <c r="C120" t="s">
        <v>139</v>
      </c>
      <c r="D120" s="4" t="str">
        <f t="shared" si="1"/>
        <v>CA</v>
      </c>
      <c r="E120" t="s">
        <v>131</v>
      </c>
      <c r="F120" s="4" t="s">
        <v>16</v>
      </c>
      <c r="G120" s="4" t="s">
        <v>16</v>
      </c>
    </row>
    <row r="121" spans="1:8" x14ac:dyDescent="0.25">
      <c r="A121" s="4">
        <v>120</v>
      </c>
      <c r="B121">
        <v>8</v>
      </c>
      <c r="C121" t="s">
        <v>139</v>
      </c>
      <c r="D121" s="4" t="str">
        <f t="shared" si="1"/>
        <v>PT</v>
      </c>
      <c r="E121" t="s">
        <v>132</v>
      </c>
      <c r="F121" s="4" t="s">
        <v>16</v>
      </c>
      <c r="G121" s="4" t="s">
        <v>16</v>
      </c>
    </row>
    <row r="122" spans="1:8" x14ac:dyDescent="0.25">
      <c r="A122" s="4">
        <v>121</v>
      </c>
      <c r="B122">
        <v>9</v>
      </c>
      <c r="C122" t="s">
        <v>139</v>
      </c>
      <c r="D122" s="4" t="str">
        <f t="shared" si="1"/>
        <v>IL</v>
      </c>
      <c r="E122" t="s">
        <v>133</v>
      </c>
      <c r="F122" s="4" t="s">
        <v>16</v>
      </c>
      <c r="G122" s="4" t="s">
        <v>16</v>
      </c>
    </row>
    <row r="123" spans="1:8" x14ac:dyDescent="0.25">
      <c r="A123" s="4">
        <v>122</v>
      </c>
      <c r="B123">
        <v>10</v>
      </c>
      <c r="C123" t="s">
        <v>139</v>
      </c>
      <c r="D123" s="4" t="str">
        <f t="shared" si="1"/>
        <v>KZ</v>
      </c>
      <c r="E123" t="s">
        <v>134</v>
      </c>
      <c r="F123" s="4" t="s">
        <v>16</v>
      </c>
      <c r="G123" s="4" t="s">
        <v>16</v>
      </c>
      <c r="H123" t="s">
        <v>17</v>
      </c>
    </row>
    <row r="124" spans="1:8" x14ac:dyDescent="0.25">
      <c r="A124" s="4">
        <v>123</v>
      </c>
      <c r="B124">
        <v>11</v>
      </c>
      <c r="C124" t="s">
        <v>139</v>
      </c>
      <c r="D124" s="4" t="str">
        <f t="shared" si="1"/>
        <v>SE</v>
      </c>
      <c r="E124" t="s">
        <v>135</v>
      </c>
      <c r="F124" s="4" t="s">
        <v>16</v>
      </c>
      <c r="G124" s="4" t="s">
        <v>16</v>
      </c>
    </row>
    <row r="125" spans="1:8" x14ac:dyDescent="0.25">
      <c r="A125" s="4">
        <v>124</v>
      </c>
      <c r="B125">
        <v>12</v>
      </c>
      <c r="C125" t="s">
        <v>139</v>
      </c>
      <c r="D125" s="4" t="str">
        <f t="shared" si="1"/>
        <v>IT</v>
      </c>
      <c r="E125" t="s">
        <v>136</v>
      </c>
      <c r="F125" s="4" t="s">
        <v>16</v>
      </c>
      <c r="G125" s="4" t="s">
        <v>16</v>
      </c>
    </row>
    <row r="126" spans="1:8" x14ac:dyDescent="0.25">
      <c r="A126" s="4">
        <v>125</v>
      </c>
      <c r="B126">
        <v>13</v>
      </c>
      <c r="C126" t="s">
        <v>139</v>
      </c>
      <c r="D126" s="4" t="str">
        <f t="shared" si="1"/>
        <v>NZ</v>
      </c>
      <c r="E126" t="s">
        <v>137</v>
      </c>
      <c r="F126" s="4" t="s">
        <v>16</v>
      </c>
      <c r="G126" s="4" t="s">
        <v>16</v>
      </c>
    </row>
    <row r="127" spans="1:8" x14ac:dyDescent="0.25">
      <c r="A127" s="4">
        <v>126</v>
      </c>
      <c r="B127">
        <v>14</v>
      </c>
      <c r="C127" t="s">
        <v>139</v>
      </c>
      <c r="D127" s="4" t="str">
        <f t="shared" si="1"/>
        <v>RO</v>
      </c>
      <c r="E127" t="s">
        <v>138</v>
      </c>
      <c r="F127" s="4" t="s">
        <v>16</v>
      </c>
      <c r="G127" s="4" t="s">
        <v>16</v>
      </c>
    </row>
    <row r="128" spans="1:8" x14ac:dyDescent="0.25">
      <c r="A128" s="4">
        <v>127</v>
      </c>
      <c r="B128">
        <v>1</v>
      </c>
      <c r="C128" t="s">
        <v>154</v>
      </c>
      <c r="D128" s="4" t="str">
        <f t="shared" si="1"/>
        <v>AU</v>
      </c>
      <c r="E128" t="s">
        <v>140</v>
      </c>
      <c r="F128" s="4" t="s">
        <v>16</v>
      </c>
      <c r="G128" s="4" t="s">
        <v>16</v>
      </c>
    </row>
    <row r="129" spans="1:8" x14ac:dyDescent="0.25">
      <c r="A129" s="4">
        <v>128</v>
      </c>
      <c r="B129">
        <v>2</v>
      </c>
      <c r="C129" t="s">
        <v>154</v>
      </c>
      <c r="D129" s="4" t="str">
        <f t="shared" si="1"/>
        <v>UA</v>
      </c>
      <c r="E129" t="s">
        <v>141</v>
      </c>
      <c r="F129" s="4" t="s">
        <v>16</v>
      </c>
      <c r="G129" s="4" t="s">
        <v>16</v>
      </c>
    </row>
    <row r="130" spans="1:8" x14ac:dyDescent="0.25">
      <c r="A130" s="4">
        <v>129</v>
      </c>
      <c r="B130">
        <v>3</v>
      </c>
      <c r="C130" t="s">
        <v>154</v>
      </c>
      <c r="D130" s="4" t="str">
        <f t="shared" si="1"/>
        <v>LT</v>
      </c>
      <c r="E130" t="s">
        <v>142</v>
      </c>
      <c r="F130" s="4" t="s">
        <v>16</v>
      </c>
      <c r="G130" s="4" t="s">
        <v>16</v>
      </c>
    </row>
    <row r="131" spans="1:8" x14ac:dyDescent="0.25">
      <c r="A131" s="4">
        <v>130</v>
      </c>
      <c r="B131">
        <v>4</v>
      </c>
      <c r="C131" t="s">
        <v>154</v>
      </c>
      <c r="D131" s="4" t="str">
        <f t="shared" ref="D131:D194" si="2">LEFT(E131, FIND("_", E131) - 1)</f>
        <v>NL</v>
      </c>
      <c r="E131" t="s">
        <v>143</v>
      </c>
      <c r="F131" s="4" t="s">
        <v>16</v>
      </c>
      <c r="G131" s="4" t="s">
        <v>16</v>
      </c>
    </row>
    <row r="132" spans="1:8" x14ac:dyDescent="0.25">
      <c r="A132" s="4">
        <v>131</v>
      </c>
      <c r="B132">
        <v>5</v>
      </c>
      <c r="C132" t="s">
        <v>154</v>
      </c>
      <c r="D132" s="4" t="str">
        <f t="shared" si="2"/>
        <v>GR</v>
      </c>
      <c r="E132" t="s">
        <v>144</v>
      </c>
      <c r="F132" s="4" t="s">
        <v>16</v>
      </c>
      <c r="G132" s="4" t="s">
        <v>16</v>
      </c>
    </row>
    <row r="133" spans="1:8" x14ac:dyDescent="0.25">
      <c r="A133" s="4">
        <v>132</v>
      </c>
      <c r="B133">
        <v>6</v>
      </c>
      <c r="C133" t="s">
        <v>154</v>
      </c>
      <c r="D133" s="4" t="str">
        <f t="shared" si="2"/>
        <v>DK</v>
      </c>
      <c r="E133" t="s">
        <v>145</v>
      </c>
      <c r="F133" s="4" t="s">
        <v>16</v>
      </c>
      <c r="G133" s="4" t="s">
        <v>16</v>
      </c>
    </row>
    <row r="134" spans="1:8" x14ac:dyDescent="0.25">
      <c r="A134" s="4">
        <v>133</v>
      </c>
      <c r="B134">
        <v>7</v>
      </c>
      <c r="C134" t="s">
        <v>154</v>
      </c>
      <c r="D134" s="4" t="str">
        <f t="shared" si="2"/>
        <v>CA</v>
      </c>
      <c r="E134" t="s">
        <v>146</v>
      </c>
      <c r="F134" s="4" t="s">
        <v>16</v>
      </c>
      <c r="G134" s="4" t="s">
        <v>16</v>
      </c>
    </row>
    <row r="135" spans="1:8" x14ac:dyDescent="0.25">
      <c r="A135" s="4">
        <v>134</v>
      </c>
      <c r="B135">
        <v>8</v>
      </c>
      <c r="C135" t="s">
        <v>154</v>
      </c>
      <c r="D135" s="4" t="str">
        <f t="shared" si="2"/>
        <v>PT</v>
      </c>
      <c r="E135" t="s">
        <v>147</v>
      </c>
      <c r="F135" s="4" t="s">
        <v>16</v>
      </c>
      <c r="G135" s="4" t="s">
        <v>16</v>
      </c>
    </row>
    <row r="136" spans="1:8" x14ac:dyDescent="0.25">
      <c r="A136" s="4">
        <v>135</v>
      </c>
      <c r="B136">
        <v>9</v>
      </c>
      <c r="C136" t="s">
        <v>154</v>
      </c>
      <c r="D136" s="4" t="str">
        <f t="shared" si="2"/>
        <v>IL</v>
      </c>
      <c r="E136" t="s">
        <v>148</v>
      </c>
      <c r="F136" s="4" t="s">
        <v>16</v>
      </c>
      <c r="G136" s="4" t="s">
        <v>16</v>
      </c>
    </row>
    <row r="137" spans="1:8" x14ac:dyDescent="0.25">
      <c r="A137" s="4">
        <v>136</v>
      </c>
      <c r="B137">
        <v>10</v>
      </c>
      <c r="C137" t="s">
        <v>154</v>
      </c>
      <c r="D137" s="4" t="str">
        <f t="shared" si="2"/>
        <v>KZ</v>
      </c>
      <c r="E137" t="s">
        <v>149</v>
      </c>
      <c r="F137" s="4" t="s">
        <v>16</v>
      </c>
      <c r="G137" s="4" t="s">
        <v>16</v>
      </c>
      <c r="H137" t="s">
        <v>17</v>
      </c>
    </row>
    <row r="138" spans="1:8" x14ac:dyDescent="0.25">
      <c r="A138" s="4">
        <v>137</v>
      </c>
      <c r="B138">
        <v>11</v>
      </c>
      <c r="C138" t="s">
        <v>154</v>
      </c>
      <c r="D138" s="4" t="str">
        <f t="shared" si="2"/>
        <v>SE</v>
      </c>
      <c r="E138" t="s">
        <v>150</v>
      </c>
      <c r="F138" s="4" t="s">
        <v>16</v>
      </c>
      <c r="G138" s="4" t="s">
        <v>16</v>
      </c>
    </row>
    <row r="139" spans="1:8" x14ac:dyDescent="0.25">
      <c r="A139" s="4">
        <v>138</v>
      </c>
      <c r="B139">
        <v>12</v>
      </c>
      <c r="C139" t="s">
        <v>154</v>
      </c>
      <c r="D139" s="4" t="str">
        <f t="shared" si="2"/>
        <v>IT</v>
      </c>
      <c r="E139" t="s">
        <v>151</v>
      </c>
      <c r="F139" s="4" t="s">
        <v>16</v>
      </c>
      <c r="G139" s="4" t="s">
        <v>16</v>
      </c>
    </row>
    <row r="140" spans="1:8" x14ac:dyDescent="0.25">
      <c r="A140" s="4">
        <v>139</v>
      </c>
      <c r="B140">
        <v>13</v>
      </c>
      <c r="C140" t="s">
        <v>154</v>
      </c>
      <c r="D140" s="4" t="str">
        <f t="shared" si="2"/>
        <v>NZ</v>
      </c>
      <c r="E140" t="s">
        <v>152</v>
      </c>
      <c r="F140" s="4" t="s">
        <v>16</v>
      </c>
      <c r="G140" s="4" t="s">
        <v>16</v>
      </c>
    </row>
    <row r="141" spans="1:8" x14ac:dyDescent="0.25">
      <c r="A141" s="4">
        <v>140</v>
      </c>
      <c r="B141">
        <v>14</v>
      </c>
      <c r="C141" t="s">
        <v>154</v>
      </c>
      <c r="D141" s="4" t="str">
        <f t="shared" si="2"/>
        <v>RO</v>
      </c>
      <c r="E141" t="s">
        <v>153</v>
      </c>
      <c r="F141" s="4" t="s">
        <v>16</v>
      </c>
      <c r="G141" s="4" t="s">
        <v>16</v>
      </c>
    </row>
    <row r="142" spans="1:8" x14ac:dyDescent="0.25">
      <c r="A142" s="4">
        <v>141</v>
      </c>
      <c r="B142">
        <v>1</v>
      </c>
      <c r="C142" t="s">
        <v>169</v>
      </c>
      <c r="D142" s="4" t="str">
        <f t="shared" si="2"/>
        <v>AU</v>
      </c>
      <c r="E142" t="s">
        <v>155</v>
      </c>
      <c r="F142" s="4" t="s">
        <v>16</v>
      </c>
      <c r="G142" s="4" t="s">
        <v>16</v>
      </c>
      <c r="H142" t="s">
        <v>17</v>
      </c>
    </row>
    <row r="143" spans="1:8" x14ac:dyDescent="0.25">
      <c r="A143" s="4">
        <v>142</v>
      </c>
      <c r="B143">
        <v>2</v>
      </c>
      <c r="C143" t="s">
        <v>169</v>
      </c>
      <c r="D143" s="4" t="str">
        <f t="shared" si="2"/>
        <v>UA</v>
      </c>
      <c r="E143" t="s">
        <v>156</v>
      </c>
      <c r="F143" s="4" t="s">
        <v>16</v>
      </c>
      <c r="G143" s="4" t="s">
        <v>16</v>
      </c>
    </row>
    <row r="144" spans="1:8" x14ac:dyDescent="0.25">
      <c r="A144" s="4">
        <v>143</v>
      </c>
      <c r="B144">
        <v>3</v>
      </c>
      <c r="C144" t="s">
        <v>169</v>
      </c>
      <c r="D144" s="4" t="str">
        <f t="shared" si="2"/>
        <v>LT</v>
      </c>
      <c r="E144" t="s">
        <v>157</v>
      </c>
      <c r="F144" s="4" t="s">
        <v>16</v>
      </c>
      <c r="G144" s="4" t="s">
        <v>16</v>
      </c>
    </row>
    <row r="145" spans="1:13" x14ac:dyDescent="0.25">
      <c r="A145" s="4">
        <v>144</v>
      </c>
      <c r="B145">
        <v>4</v>
      </c>
      <c r="C145" t="s">
        <v>169</v>
      </c>
      <c r="D145" s="4" t="str">
        <f t="shared" si="2"/>
        <v>NL</v>
      </c>
      <c r="E145" t="s">
        <v>158</v>
      </c>
      <c r="F145" s="4" t="s">
        <v>16</v>
      </c>
      <c r="G145" s="4" t="s">
        <v>16</v>
      </c>
      <c r="H145" t="s">
        <v>17</v>
      </c>
    </row>
    <row r="146" spans="1:13" x14ac:dyDescent="0.25">
      <c r="A146" s="4">
        <v>145</v>
      </c>
      <c r="B146">
        <v>5</v>
      </c>
      <c r="C146" t="s">
        <v>169</v>
      </c>
      <c r="D146" s="4" t="str">
        <f t="shared" si="2"/>
        <v>GR</v>
      </c>
      <c r="E146" t="s">
        <v>159</v>
      </c>
      <c r="F146" s="4" t="s">
        <v>16</v>
      </c>
      <c r="G146" s="4" t="s">
        <v>16</v>
      </c>
      <c r="H146" t="s">
        <v>17</v>
      </c>
    </row>
    <row r="147" spans="1:13" x14ac:dyDescent="0.25">
      <c r="A147" s="4">
        <v>146</v>
      </c>
      <c r="B147">
        <v>6</v>
      </c>
      <c r="C147" t="s">
        <v>169</v>
      </c>
      <c r="D147" s="4" t="str">
        <f t="shared" si="2"/>
        <v>DK</v>
      </c>
      <c r="E147" t="s">
        <v>160</v>
      </c>
      <c r="F147" s="4" t="s">
        <v>16</v>
      </c>
      <c r="G147" s="4" t="s">
        <v>16</v>
      </c>
    </row>
    <row r="148" spans="1:13" x14ac:dyDescent="0.25">
      <c r="A148" s="4">
        <v>147</v>
      </c>
      <c r="B148">
        <v>7</v>
      </c>
      <c r="C148" t="s">
        <v>169</v>
      </c>
      <c r="D148" s="4" t="str">
        <f t="shared" si="2"/>
        <v>CA</v>
      </c>
      <c r="E148" t="s">
        <v>161</v>
      </c>
      <c r="F148" s="4" t="s">
        <v>16</v>
      </c>
      <c r="G148" s="4" t="s">
        <v>16</v>
      </c>
      <c r="H148" t="s">
        <v>17</v>
      </c>
    </row>
    <row r="149" spans="1:13" x14ac:dyDescent="0.25">
      <c r="A149" s="4">
        <v>148</v>
      </c>
      <c r="B149">
        <v>8</v>
      </c>
      <c r="C149" t="s">
        <v>169</v>
      </c>
      <c r="D149" s="4" t="str">
        <f t="shared" si="2"/>
        <v>PT</v>
      </c>
      <c r="E149" t="s">
        <v>162</v>
      </c>
      <c r="F149" s="4" t="s">
        <v>16</v>
      </c>
      <c r="G149" s="4" t="s">
        <v>16</v>
      </c>
    </row>
    <row r="150" spans="1:13" x14ac:dyDescent="0.25">
      <c r="A150" s="4">
        <v>149</v>
      </c>
      <c r="B150">
        <v>9</v>
      </c>
      <c r="C150" t="s">
        <v>169</v>
      </c>
      <c r="D150" s="4" t="str">
        <f t="shared" si="2"/>
        <v>IL</v>
      </c>
      <c r="E150" t="s">
        <v>163</v>
      </c>
      <c r="F150" s="4" t="s">
        <v>16</v>
      </c>
      <c r="G150" s="4" t="s">
        <v>16</v>
      </c>
      <c r="H150" t="s">
        <v>17</v>
      </c>
    </row>
    <row r="151" spans="1:13" x14ac:dyDescent="0.25">
      <c r="A151" s="4">
        <v>150</v>
      </c>
      <c r="B151">
        <v>10</v>
      </c>
      <c r="C151" t="s">
        <v>169</v>
      </c>
      <c r="D151" s="4" t="str">
        <f t="shared" si="2"/>
        <v>KZ</v>
      </c>
      <c r="E151" t="s">
        <v>164</v>
      </c>
      <c r="F151" s="4" t="s">
        <v>16</v>
      </c>
      <c r="G151" s="4" t="s">
        <v>16</v>
      </c>
      <c r="H151" t="s">
        <v>17</v>
      </c>
    </row>
    <row r="152" spans="1:13" x14ac:dyDescent="0.25">
      <c r="A152" s="4">
        <v>151</v>
      </c>
      <c r="B152">
        <v>11</v>
      </c>
      <c r="C152" t="s">
        <v>169</v>
      </c>
      <c r="D152" s="4" t="str">
        <f t="shared" si="2"/>
        <v>SE</v>
      </c>
      <c r="E152" t="s">
        <v>165</v>
      </c>
      <c r="F152" s="4" t="s">
        <v>16</v>
      </c>
      <c r="G152" s="4" t="s">
        <v>16</v>
      </c>
      <c r="H152" t="s">
        <v>17</v>
      </c>
    </row>
    <row r="153" spans="1:13" x14ac:dyDescent="0.25">
      <c r="A153" s="4">
        <v>152</v>
      </c>
      <c r="B153">
        <v>12</v>
      </c>
      <c r="C153" t="s">
        <v>169</v>
      </c>
      <c r="D153" s="4" t="str">
        <f t="shared" si="2"/>
        <v>IT</v>
      </c>
      <c r="E153" t="s">
        <v>166</v>
      </c>
      <c r="F153" s="4" t="s">
        <v>16</v>
      </c>
      <c r="G153" s="4" t="s">
        <v>16</v>
      </c>
      <c r="H153" t="s">
        <v>17</v>
      </c>
    </row>
    <row r="154" spans="1:13" x14ac:dyDescent="0.25">
      <c r="A154" s="4">
        <v>153</v>
      </c>
      <c r="B154">
        <v>13</v>
      </c>
      <c r="C154" t="s">
        <v>169</v>
      </c>
      <c r="D154" s="4" t="str">
        <f t="shared" si="2"/>
        <v>NZ</v>
      </c>
      <c r="E154" t="s">
        <v>167</v>
      </c>
      <c r="F154" s="4" t="s">
        <v>16</v>
      </c>
      <c r="G154" s="4" t="s">
        <v>16</v>
      </c>
    </row>
    <row r="155" spans="1:13" x14ac:dyDescent="0.25">
      <c r="A155" s="4">
        <v>154</v>
      </c>
      <c r="B155">
        <v>14</v>
      </c>
      <c r="C155" t="s">
        <v>169</v>
      </c>
      <c r="D155" s="4" t="str">
        <f t="shared" si="2"/>
        <v>RO</v>
      </c>
      <c r="E155" t="s">
        <v>168</v>
      </c>
      <c r="F155" s="4" t="s">
        <v>16</v>
      </c>
      <c r="G155" s="4" t="s">
        <v>16</v>
      </c>
      <c r="H155" t="s">
        <v>17</v>
      </c>
    </row>
    <row r="156" spans="1:13" x14ac:dyDescent="0.25">
      <c r="A156" s="4">
        <v>155</v>
      </c>
      <c r="B156">
        <v>1</v>
      </c>
      <c r="C156" t="s">
        <v>170</v>
      </c>
      <c r="D156" s="4" t="str">
        <f t="shared" si="2"/>
        <v>AU</v>
      </c>
      <c r="E156" t="s">
        <v>171</v>
      </c>
      <c r="F156" s="4" t="s">
        <v>16</v>
      </c>
      <c r="G156" s="4" t="s">
        <v>16</v>
      </c>
      <c r="H156" t="s">
        <v>17</v>
      </c>
    </row>
    <row r="157" spans="1:13" ht="16.5" x14ac:dyDescent="0.3">
      <c r="A157" s="4">
        <v>156</v>
      </c>
      <c r="B157">
        <v>2</v>
      </c>
      <c r="C157" t="s">
        <v>170</v>
      </c>
      <c r="D157" s="4" t="str">
        <f t="shared" si="2"/>
        <v>UA</v>
      </c>
      <c r="E157" t="s">
        <v>172</v>
      </c>
      <c r="F157" s="4" t="s">
        <v>16</v>
      </c>
      <c r="G157" s="4" t="s">
        <v>16</v>
      </c>
      <c r="M157" s="6"/>
    </row>
    <row r="158" spans="1:13" x14ac:dyDescent="0.25">
      <c r="A158" s="4">
        <v>157</v>
      </c>
      <c r="B158">
        <v>3</v>
      </c>
      <c r="C158" t="s">
        <v>170</v>
      </c>
      <c r="D158" s="4" t="str">
        <f t="shared" si="2"/>
        <v>LT</v>
      </c>
      <c r="E158" t="s">
        <v>173</v>
      </c>
      <c r="F158" s="4" t="s">
        <v>16</v>
      </c>
      <c r="G158" s="4" t="s">
        <v>16</v>
      </c>
    </row>
    <row r="159" spans="1:13" x14ac:dyDescent="0.25">
      <c r="A159" s="4">
        <v>158</v>
      </c>
      <c r="B159">
        <v>4</v>
      </c>
      <c r="C159" t="s">
        <v>170</v>
      </c>
      <c r="D159" s="4" t="str">
        <f t="shared" si="2"/>
        <v>NL</v>
      </c>
      <c r="E159" t="s">
        <v>174</v>
      </c>
      <c r="F159" s="4" t="s">
        <v>16</v>
      </c>
      <c r="G159" s="4" t="s">
        <v>16</v>
      </c>
      <c r="H159" t="s">
        <v>17</v>
      </c>
    </row>
    <row r="160" spans="1:13" ht="16.5" x14ac:dyDescent="0.3">
      <c r="A160" s="4">
        <v>159</v>
      </c>
      <c r="B160">
        <v>5</v>
      </c>
      <c r="C160" t="s">
        <v>170</v>
      </c>
      <c r="D160" s="4" t="str">
        <f t="shared" si="2"/>
        <v>GR</v>
      </c>
      <c r="E160" t="s">
        <v>175</v>
      </c>
      <c r="F160" s="4" t="s">
        <v>16</v>
      </c>
      <c r="G160" s="4" t="s">
        <v>16</v>
      </c>
      <c r="H160" t="s">
        <v>17</v>
      </c>
      <c r="M160" s="6"/>
    </row>
    <row r="161" spans="1:8" x14ac:dyDescent="0.25">
      <c r="A161" s="4">
        <v>160</v>
      </c>
      <c r="B161">
        <v>6</v>
      </c>
      <c r="C161" t="s">
        <v>170</v>
      </c>
      <c r="D161" s="4" t="str">
        <f t="shared" si="2"/>
        <v>DK</v>
      </c>
      <c r="E161" t="s">
        <v>176</v>
      </c>
      <c r="F161" s="4" t="s">
        <v>16</v>
      </c>
      <c r="G161" s="4" t="s">
        <v>16</v>
      </c>
    </row>
    <row r="162" spans="1:8" x14ac:dyDescent="0.25">
      <c r="A162" s="4">
        <v>161</v>
      </c>
      <c r="B162">
        <v>7</v>
      </c>
      <c r="C162" t="s">
        <v>170</v>
      </c>
      <c r="D162" s="4" t="str">
        <f t="shared" si="2"/>
        <v>CA</v>
      </c>
      <c r="E162" t="s">
        <v>177</v>
      </c>
      <c r="F162" s="4" t="s">
        <v>16</v>
      </c>
      <c r="G162" s="4" t="s">
        <v>16</v>
      </c>
    </row>
    <row r="163" spans="1:8" x14ac:dyDescent="0.25">
      <c r="A163" s="4">
        <v>162</v>
      </c>
      <c r="B163">
        <v>8</v>
      </c>
      <c r="C163" t="s">
        <v>170</v>
      </c>
      <c r="D163" s="4" t="str">
        <f t="shared" si="2"/>
        <v>PT</v>
      </c>
      <c r="E163" t="s">
        <v>178</v>
      </c>
      <c r="F163" s="4" t="s">
        <v>16</v>
      </c>
      <c r="G163" s="4" t="s">
        <v>16</v>
      </c>
    </row>
    <row r="164" spans="1:8" x14ac:dyDescent="0.25">
      <c r="A164" s="4">
        <v>163</v>
      </c>
      <c r="B164">
        <v>9</v>
      </c>
      <c r="C164" t="s">
        <v>170</v>
      </c>
      <c r="D164" s="4" t="str">
        <f t="shared" si="2"/>
        <v>IL</v>
      </c>
      <c r="E164" t="s">
        <v>179</v>
      </c>
      <c r="F164" s="4" t="s">
        <v>16</v>
      </c>
      <c r="G164" s="4" t="s">
        <v>16</v>
      </c>
      <c r="H164" t="s">
        <v>17</v>
      </c>
    </row>
    <row r="165" spans="1:8" x14ac:dyDescent="0.25">
      <c r="A165" s="4">
        <v>164</v>
      </c>
      <c r="B165">
        <v>10</v>
      </c>
      <c r="C165" t="s">
        <v>170</v>
      </c>
      <c r="D165" s="4" t="str">
        <f t="shared" si="2"/>
        <v>KZ</v>
      </c>
      <c r="E165" t="s">
        <v>180</v>
      </c>
      <c r="F165" s="4" t="s">
        <v>16</v>
      </c>
      <c r="G165" s="4" t="s">
        <v>16</v>
      </c>
      <c r="H165" t="s">
        <v>17</v>
      </c>
    </row>
    <row r="166" spans="1:8" x14ac:dyDescent="0.25">
      <c r="A166" s="4">
        <v>165</v>
      </c>
      <c r="B166">
        <v>11</v>
      </c>
      <c r="C166" t="s">
        <v>170</v>
      </c>
      <c r="D166" s="4" t="str">
        <f t="shared" si="2"/>
        <v>SE</v>
      </c>
      <c r="E166" t="s">
        <v>181</v>
      </c>
      <c r="F166" s="4" t="s">
        <v>16</v>
      </c>
      <c r="G166" s="4" t="s">
        <v>16</v>
      </c>
      <c r="H166" t="s">
        <v>17</v>
      </c>
    </row>
    <row r="167" spans="1:8" x14ac:dyDescent="0.25">
      <c r="A167" s="4">
        <v>166</v>
      </c>
      <c r="B167">
        <v>12</v>
      </c>
      <c r="C167" t="s">
        <v>170</v>
      </c>
      <c r="D167" s="4" t="str">
        <f t="shared" si="2"/>
        <v>IT</v>
      </c>
      <c r="E167" t="s">
        <v>182</v>
      </c>
      <c r="F167" s="4" t="s">
        <v>16</v>
      </c>
      <c r="G167" s="4" t="s">
        <v>16</v>
      </c>
    </row>
    <row r="168" spans="1:8" x14ac:dyDescent="0.25">
      <c r="A168" s="4">
        <v>167</v>
      </c>
      <c r="B168">
        <v>13</v>
      </c>
      <c r="C168" t="s">
        <v>170</v>
      </c>
      <c r="D168" s="4" t="str">
        <f t="shared" si="2"/>
        <v>NZ</v>
      </c>
      <c r="E168" t="s">
        <v>183</v>
      </c>
      <c r="F168" s="4" t="s">
        <v>16</v>
      </c>
      <c r="G168" s="4" t="s">
        <v>16</v>
      </c>
    </row>
    <row r="169" spans="1:8" x14ac:dyDescent="0.25">
      <c r="A169" s="4">
        <v>168</v>
      </c>
      <c r="B169">
        <v>14</v>
      </c>
      <c r="C169" t="s">
        <v>170</v>
      </c>
      <c r="D169" s="4" t="str">
        <f t="shared" si="2"/>
        <v>RO</v>
      </c>
      <c r="E169" t="s">
        <v>184</v>
      </c>
      <c r="F169" s="4" t="s">
        <v>16</v>
      </c>
      <c r="G169" s="4" t="s">
        <v>16</v>
      </c>
      <c r="H169" t="s">
        <v>17</v>
      </c>
    </row>
    <row r="170" spans="1:8" x14ac:dyDescent="0.25">
      <c r="A170" s="4">
        <v>169</v>
      </c>
      <c r="B170">
        <v>1</v>
      </c>
      <c r="C170" t="s">
        <v>213</v>
      </c>
      <c r="D170" s="4" t="str">
        <f t="shared" si="2"/>
        <v>AU</v>
      </c>
      <c r="E170" t="s">
        <v>185</v>
      </c>
      <c r="F170" s="4" t="s">
        <v>16</v>
      </c>
      <c r="G170" s="4" t="s">
        <v>16</v>
      </c>
    </row>
    <row r="171" spans="1:8" x14ac:dyDescent="0.25">
      <c r="A171" s="4">
        <v>170</v>
      </c>
      <c r="B171">
        <v>2</v>
      </c>
      <c r="C171" t="s">
        <v>213</v>
      </c>
      <c r="D171" s="4" t="str">
        <f t="shared" si="2"/>
        <v>UA</v>
      </c>
      <c r="E171" t="s">
        <v>186</v>
      </c>
      <c r="F171" s="4" t="s">
        <v>16</v>
      </c>
      <c r="G171" s="4" t="s">
        <v>16</v>
      </c>
    </row>
    <row r="172" spans="1:8" x14ac:dyDescent="0.25">
      <c r="A172" s="4">
        <v>171</v>
      </c>
      <c r="B172">
        <v>3</v>
      </c>
      <c r="C172" t="s">
        <v>213</v>
      </c>
      <c r="D172" s="4" t="str">
        <f t="shared" si="2"/>
        <v>LT</v>
      </c>
      <c r="E172" t="s">
        <v>187</v>
      </c>
      <c r="F172" s="4" t="s">
        <v>16</v>
      </c>
      <c r="G172" s="4" t="s">
        <v>16</v>
      </c>
    </row>
    <row r="173" spans="1:8" x14ac:dyDescent="0.25">
      <c r="A173" s="4">
        <v>172</v>
      </c>
      <c r="B173">
        <v>4</v>
      </c>
      <c r="C173" t="s">
        <v>213</v>
      </c>
      <c r="D173" s="4" t="str">
        <f t="shared" si="2"/>
        <v>NL</v>
      </c>
      <c r="E173" t="s">
        <v>188</v>
      </c>
      <c r="F173" s="4" t="s">
        <v>16</v>
      </c>
      <c r="G173" s="4" t="s">
        <v>16</v>
      </c>
    </row>
    <row r="174" spans="1:8" x14ac:dyDescent="0.25">
      <c r="A174" s="4">
        <v>173</v>
      </c>
      <c r="B174">
        <v>5</v>
      </c>
      <c r="C174" t="s">
        <v>213</v>
      </c>
      <c r="D174" s="4" t="str">
        <f t="shared" si="2"/>
        <v>GR</v>
      </c>
      <c r="E174" t="s">
        <v>189</v>
      </c>
      <c r="F174" s="4" t="s">
        <v>16</v>
      </c>
      <c r="G174" s="4" t="s">
        <v>16</v>
      </c>
    </row>
    <row r="175" spans="1:8" x14ac:dyDescent="0.25">
      <c r="A175" s="4">
        <v>174</v>
      </c>
      <c r="B175">
        <v>6</v>
      </c>
      <c r="C175" t="s">
        <v>213</v>
      </c>
      <c r="D175" s="4" t="str">
        <f t="shared" si="2"/>
        <v>DK</v>
      </c>
      <c r="E175" t="s">
        <v>190</v>
      </c>
      <c r="F175" s="4" t="s">
        <v>16</v>
      </c>
      <c r="G175" s="4" t="s">
        <v>16</v>
      </c>
    </row>
    <row r="176" spans="1:8" x14ac:dyDescent="0.25">
      <c r="A176" s="4">
        <v>175</v>
      </c>
      <c r="B176">
        <v>7</v>
      </c>
      <c r="C176" t="s">
        <v>213</v>
      </c>
      <c r="D176" s="4" t="str">
        <f t="shared" si="2"/>
        <v>CA</v>
      </c>
      <c r="E176" t="s">
        <v>191</v>
      </c>
      <c r="F176" s="4" t="s">
        <v>16</v>
      </c>
      <c r="G176" s="4" t="s">
        <v>16</v>
      </c>
    </row>
    <row r="177" spans="1:8" x14ac:dyDescent="0.25">
      <c r="A177" s="4">
        <v>176</v>
      </c>
      <c r="B177">
        <v>8</v>
      </c>
      <c r="C177" t="s">
        <v>213</v>
      </c>
      <c r="D177" s="4" t="str">
        <f t="shared" si="2"/>
        <v>PT</v>
      </c>
      <c r="E177" t="s">
        <v>192</v>
      </c>
      <c r="F177" s="4" t="s">
        <v>16</v>
      </c>
      <c r="G177" s="4" t="s">
        <v>16</v>
      </c>
    </row>
    <row r="178" spans="1:8" x14ac:dyDescent="0.25">
      <c r="A178" s="4">
        <v>177</v>
      </c>
      <c r="B178">
        <v>9</v>
      </c>
      <c r="C178" t="s">
        <v>213</v>
      </c>
      <c r="D178" s="4" t="str">
        <f t="shared" si="2"/>
        <v>IL</v>
      </c>
      <c r="E178" t="s">
        <v>193</v>
      </c>
      <c r="F178" s="4" t="s">
        <v>16</v>
      </c>
      <c r="G178" s="4" t="s">
        <v>16</v>
      </c>
    </row>
    <row r="179" spans="1:8" x14ac:dyDescent="0.25">
      <c r="A179" s="4">
        <v>178</v>
      </c>
      <c r="B179">
        <v>10</v>
      </c>
      <c r="C179" t="s">
        <v>213</v>
      </c>
      <c r="D179" s="4" t="str">
        <f t="shared" si="2"/>
        <v>KZ</v>
      </c>
      <c r="E179" t="s">
        <v>194</v>
      </c>
      <c r="F179" s="4" t="s">
        <v>16</v>
      </c>
      <c r="G179" s="4" t="s">
        <v>16</v>
      </c>
      <c r="H179" t="s">
        <v>17</v>
      </c>
    </row>
    <row r="180" spans="1:8" x14ac:dyDescent="0.25">
      <c r="A180" s="4">
        <v>179</v>
      </c>
      <c r="B180">
        <v>11</v>
      </c>
      <c r="C180" t="s">
        <v>213</v>
      </c>
      <c r="D180" s="4" t="str">
        <f t="shared" si="2"/>
        <v>SE</v>
      </c>
      <c r="E180" t="s">
        <v>195</v>
      </c>
      <c r="F180" s="4" t="s">
        <v>16</v>
      </c>
      <c r="G180" s="4" t="s">
        <v>16</v>
      </c>
    </row>
    <row r="181" spans="1:8" x14ac:dyDescent="0.25">
      <c r="A181" s="4">
        <v>180</v>
      </c>
      <c r="B181">
        <v>12</v>
      </c>
      <c r="C181" t="s">
        <v>213</v>
      </c>
      <c r="D181" s="4" t="str">
        <f t="shared" si="2"/>
        <v>IT</v>
      </c>
      <c r="E181" t="s">
        <v>196</v>
      </c>
      <c r="F181" s="4" t="s">
        <v>16</v>
      </c>
      <c r="G181" s="4" t="s">
        <v>16</v>
      </c>
    </row>
    <row r="182" spans="1:8" x14ac:dyDescent="0.25">
      <c r="A182" s="4">
        <v>181</v>
      </c>
      <c r="B182">
        <v>13</v>
      </c>
      <c r="C182" t="s">
        <v>213</v>
      </c>
      <c r="D182" s="4" t="str">
        <f t="shared" si="2"/>
        <v>NZ</v>
      </c>
      <c r="E182" t="s">
        <v>197</v>
      </c>
      <c r="F182" s="4" t="s">
        <v>16</v>
      </c>
      <c r="G182" s="4" t="s">
        <v>16</v>
      </c>
    </row>
    <row r="183" spans="1:8" x14ac:dyDescent="0.25">
      <c r="A183" s="4">
        <v>182</v>
      </c>
      <c r="B183">
        <v>14</v>
      </c>
      <c r="C183" t="s">
        <v>213</v>
      </c>
      <c r="D183" s="4" t="str">
        <f t="shared" si="2"/>
        <v>RO</v>
      </c>
      <c r="E183" t="s">
        <v>198</v>
      </c>
      <c r="F183" s="4" t="s">
        <v>16</v>
      </c>
      <c r="G183" s="4" t="s">
        <v>16</v>
      </c>
      <c r="H183" t="s">
        <v>17</v>
      </c>
    </row>
    <row r="184" spans="1:8" x14ac:dyDescent="0.25">
      <c r="A184" s="4">
        <v>183</v>
      </c>
      <c r="B184">
        <v>1</v>
      </c>
      <c r="C184" t="s">
        <v>214</v>
      </c>
      <c r="D184" s="4" t="str">
        <f t="shared" si="2"/>
        <v>AU</v>
      </c>
      <c r="E184" t="s">
        <v>199</v>
      </c>
      <c r="F184" s="4" t="s">
        <v>16</v>
      </c>
      <c r="G184" s="4" t="s">
        <v>16</v>
      </c>
      <c r="H184" t="s">
        <v>17</v>
      </c>
    </row>
    <row r="185" spans="1:8" x14ac:dyDescent="0.25">
      <c r="A185" s="4">
        <v>184</v>
      </c>
      <c r="B185">
        <v>2</v>
      </c>
      <c r="C185" t="s">
        <v>214</v>
      </c>
      <c r="D185" s="4" t="str">
        <f t="shared" si="2"/>
        <v>UA</v>
      </c>
      <c r="E185" t="s">
        <v>200</v>
      </c>
      <c r="F185" s="4" t="s">
        <v>16</v>
      </c>
      <c r="G185" s="4" t="s">
        <v>16</v>
      </c>
    </row>
    <row r="186" spans="1:8" x14ac:dyDescent="0.25">
      <c r="A186" s="4">
        <v>185</v>
      </c>
      <c r="B186">
        <v>3</v>
      </c>
      <c r="C186" t="s">
        <v>214</v>
      </c>
      <c r="D186" s="4" t="str">
        <f t="shared" si="2"/>
        <v>LT</v>
      </c>
      <c r="E186" t="s">
        <v>201</v>
      </c>
      <c r="F186" s="4" t="s">
        <v>16</v>
      </c>
      <c r="G186" s="4" t="s">
        <v>16</v>
      </c>
    </row>
    <row r="187" spans="1:8" x14ac:dyDescent="0.25">
      <c r="A187" s="4">
        <v>186</v>
      </c>
      <c r="B187">
        <v>4</v>
      </c>
      <c r="C187" t="s">
        <v>214</v>
      </c>
      <c r="D187" s="4" t="str">
        <f t="shared" si="2"/>
        <v>NL</v>
      </c>
      <c r="E187" t="s">
        <v>202</v>
      </c>
      <c r="F187" s="4" t="s">
        <v>16</v>
      </c>
      <c r="G187" s="4" t="s">
        <v>16</v>
      </c>
      <c r="H187" t="s">
        <v>17</v>
      </c>
    </row>
    <row r="188" spans="1:8" x14ac:dyDescent="0.25">
      <c r="A188" s="4">
        <v>187</v>
      </c>
      <c r="B188">
        <v>5</v>
      </c>
      <c r="C188" t="s">
        <v>214</v>
      </c>
      <c r="D188" s="4" t="str">
        <f t="shared" si="2"/>
        <v>GR</v>
      </c>
      <c r="E188" t="s">
        <v>203</v>
      </c>
      <c r="F188" s="4" t="s">
        <v>16</v>
      </c>
      <c r="G188" s="4" t="s">
        <v>16</v>
      </c>
      <c r="H188" t="s">
        <v>17</v>
      </c>
    </row>
    <row r="189" spans="1:8" x14ac:dyDescent="0.25">
      <c r="A189" s="4">
        <v>188</v>
      </c>
      <c r="B189">
        <v>6</v>
      </c>
      <c r="C189" t="s">
        <v>214</v>
      </c>
      <c r="D189" s="4" t="str">
        <f t="shared" si="2"/>
        <v>DK</v>
      </c>
      <c r="E189" t="s">
        <v>204</v>
      </c>
      <c r="F189" s="4" t="s">
        <v>16</v>
      </c>
      <c r="G189" s="4" t="s">
        <v>16</v>
      </c>
      <c r="H189" t="s">
        <v>17</v>
      </c>
    </row>
    <row r="190" spans="1:8" x14ac:dyDescent="0.25">
      <c r="A190" s="4">
        <v>189</v>
      </c>
      <c r="B190">
        <v>7</v>
      </c>
      <c r="C190" t="s">
        <v>214</v>
      </c>
      <c r="D190" s="4" t="str">
        <f t="shared" si="2"/>
        <v>CA</v>
      </c>
      <c r="E190" t="s">
        <v>205</v>
      </c>
      <c r="F190" s="4" t="s">
        <v>16</v>
      </c>
      <c r="G190" s="4" t="s">
        <v>16</v>
      </c>
    </row>
    <row r="191" spans="1:8" x14ac:dyDescent="0.25">
      <c r="A191" s="4">
        <v>190</v>
      </c>
      <c r="B191">
        <v>8</v>
      </c>
      <c r="C191" t="s">
        <v>214</v>
      </c>
      <c r="D191" s="4" t="str">
        <f t="shared" si="2"/>
        <v>PT</v>
      </c>
      <c r="E191" t="s">
        <v>206</v>
      </c>
      <c r="F191" s="4" t="s">
        <v>16</v>
      </c>
      <c r="G191" s="4" t="s">
        <v>16</v>
      </c>
    </row>
    <row r="192" spans="1:8" x14ac:dyDescent="0.25">
      <c r="A192" s="4">
        <v>191</v>
      </c>
      <c r="B192">
        <v>9</v>
      </c>
      <c r="C192" t="s">
        <v>214</v>
      </c>
      <c r="D192" s="4" t="str">
        <f t="shared" si="2"/>
        <v>IL</v>
      </c>
      <c r="E192" t="s">
        <v>207</v>
      </c>
      <c r="F192" s="4" t="s">
        <v>16</v>
      </c>
      <c r="G192" s="4" t="s">
        <v>16</v>
      </c>
      <c r="H192" t="s">
        <v>17</v>
      </c>
    </row>
    <row r="193" spans="1:8" x14ac:dyDescent="0.25">
      <c r="A193" s="4">
        <v>192</v>
      </c>
      <c r="B193">
        <v>10</v>
      </c>
      <c r="C193" t="s">
        <v>214</v>
      </c>
      <c r="D193" s="4" t="str">
        <f t="shared" si="2"/>
        <v>KZ</v>
      </c>
      <c r="E193" t="s">
        <v>208</v>
      </c>
      <c r="F193" s="4" t="s">
        <v>16</v>
      </c>
      <c r="G193" s="4" t="s">
        <v>16</v>
      </c>
      <c r="H193" t="s">
        <v>17</v>
      </c>
    </row>
    <row r="194" spans="1:8" x14ac:dyDescent="0.25">
      <c r="A194" s="4">
        <v>193</v>
      </c>
      <c r="B194">
        <v>11</v>
      </c>
      <c r="C194" t="s">
        <v>214</v>
      </c>
      <c r="D194" s="4" t="str">
        <f t="shared" si="2"/>
        <v>SE</v>
      </c>
      <c r="E194" t="s">
        <v>209</v>
      </c>
      <c r="F194" s="4" t="s">
        <v>16</v>
      </c>
      <c r="G194" s="4" t="s">
        <v>16</v>
      </c>
      <c r="H194" t="s">
        <v>17</v>
      </c>
    </row>
    <row r="195" spans="1:8" x14ac:dyDescent="0.25">
      <c r="A195" s="4">
        <v>194</v>
      </c>
      <c r="B195">
        <v>12</v>
      </c>
      <c r="C195" t="s">
        <v>214</v>
      </c>
      <c r="D195" s="4" t="str">
        <f t="shared" ref="D195:D197" si="3">LEFT(E195, FIND("_", E195) - 1)</f>
        <v>IT</v>
      </c>
      <c r="E195" t="s">
        <v>210</v>
      </c>
      <c r="F195" s="4" t="s">
        <v>16</v>
      </c>
      <c r="G195" s="4" t="s">
        <v>16</v>
      </c>
    </row>
    <row r="196" spans="1:8" x14ac:dyDescent="0.25">
      <c r="A196" s="4">
        <v>195</v>
      </c>
      <c r="B196">
        <v>13</v>
      </c>
      <c r="C196" t="s">
        <v>214</v>
      </c>
      <c r="D196" s="4" t="str">
        <f t="shared" si="3"/>
        <v>NZ</v>
      </c>
      <c r="E196" t="s">
        <v>211</v>
      </c>
      <c r="F196" s="4" t="s">
        <v>16</v>
      </c>
      <c r="G196" s="4" t="s">
        <v>16</v>
      </c>
    </row>
    <row r="197" spans="1:8" x14ac:dyDescent="0.25">
      <c r="A197" s="4">
        <v>196</v>
      </c>
      <c r="B197">
        <v>14</v>
      </c>
      <c r="C197" t="s">
        <v>214</v>
      </c>
      <c r="D197" s="4" t="str">
        <f t="shared" si="3"/>
        <v>RO</v>
      </c>
      <c r="E197" t="s">
        <v>212</v>
      </c>
      <c r="F197" s="4" t="s">
        <v>16</v>
      </c>
      <c r="G197" s="4" t="s">
        <v>16</v>
      </c>
      <c r="H197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DCS Ingestion Adjustmen</vt:lpstr>
      <vt:lpstr>Prod Deployment Plan</vt:lpstr>
      <vt:lpstr>PRD Deployment details</vt:lpstr>
      <vt:lpstr>PRD revert to delta</vt:lpstr>
      <vt:lpstr>Schedule DISP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Yudha Cipta Maulana</dc:creator>
  <cp:lastModifiedBy>Yusuf, Yudha Cipta Maulana</cp:lastModifiedBy>
  <dcterms:created xsi:type="dcterms:W3CDTF">2026-03-23T06:38:47Z</dcterms:created>
  <dcterms:modified xsi:type="dcterms:W3CDTF">2026-04-18T04:32:05Z</dcterms:modified>
</cp:coreProperties>
</file>