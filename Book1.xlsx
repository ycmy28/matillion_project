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yusuf5\Downloads\CODE_LOCAL\CoratCoret\"/>
    </mc:Choice>
  </mc:AlternateContent>
  <xr:revisionPtr revIDLastSave="0" documentId="13_ncr:1_{E7B8B4BF-6EC3-43BC-94A5-5ABDA5EE5F24}" xr6:coauthVersionLast="47" xr6:coauthVersionMax="47" xr10:uidLastSave="{00000000-0000-0000-0000-000000000000}"/>
  <bookViews>
    <workbookView xWindow="-120" yWindow="-120" windowWidth="29040" windowHeight="17520" activeTab="1" xr2:uid="{764FC0BB-F6C2-4BED-B0DC-BBEE2B907A44}"/>
  </bookViews>
  <sheets>
    <sheet name="Sheet1" sheetId="1" r:id="rId1"/>
    <sheet name="PI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8" i="1"/>
  <c r="D19" i="1"/>
  <c r="D20" i="1"/>
  <c r="D21" i="1"/>
  <c r="D23" i="1"/>
  <c r="D24" i="1"/>
  <c r="D25" i="1"/>
  <c r="D26" i="1"/>
  <c r="D27" i="1"/>
  <c r="D28" i="1"/>
  <c r="D30" i="1"/>
  <c r="D31" i="1"/>
  <c r="D32" i="1"/>
  <c r="D33" i="1"/>
  <c r="D35" i="1"/>
  <c r="D7" i="1"/>
  <c r="D3" i="1"/>
  <c r="D4" i="1"/>
  <c r="D5" i="1"/>
  <c r="D6" i="1"/>
  <c r="D8" i="1"/>
  <c r="D9" i="1"/>
  <c r="D10" i="1"/>
  <c r="D2" i="1"/>
  <c r="E1" i="2"/>
</calcChain>
</file>

<file path=xl/sharedStrings.xml><?xml version="1.0" encoding="utf-8"?>
<sst xmlns="http://schemas.openxmlformats.org/spreadsheetml/2006/main" count="557" uniqueCount="307">
  <si>
    <t>Taiwan</t>
  </si>
  <si>
    <t>TQ34613</t>
  </si>
  <si>
    <t>TW</t>
  </si>
  <si>
    <t>Armenia</t>
  </si>
  <si>
    <t>MZ13437</t>
  </si>
  <si>
    <t>AM</t>
  </si>
  <si>
    <t>Morocco</t>
  </si>
  <si>
    <t>GT52354</t>
  </si>
  <si>
    <t>MA</t>
  </si>
  <si>
    <t>Austria</t>
  </si>
  <si>
    <t>JP13634</t>
  </si>
  <si>
    <t>AT</t>
  </si>
  <si>
    <t>Finland</t>
  </si>
  <si>
    <t>EA17288</t>
  </si>
  <si>
    <t>CNRD</t>
  </si>
  <si>
    <t>Japan</t>
  </si>
  <si>
    <t>NB65125</t>
  </si>
  <si>
    <t>JP</t>
  </si>
  <si>
    <t>Azerbaijan</t>
  </si>
  <si>
    <t>MU28789</t>
  </si>
  <si>
    <t>AZ</t>
  </si>
  <si>
    <t>United States</t>
  </si>
  <si>
    <t>XDB62269</t>
  </si>
  <si>
    <t>US</t>
  </si>
  <si>
    <t>Slovenia</t>
  </si>
  <si>
    <t>TX15762</t>
  </si>
  <si>
    <t>CCSL</t>
  </si>
  <si>
    <t>Republic of Kosovo</t>
  </si>
  <si>
    <t>NJ29393</t>
  </si>
  <si>
    <t>CSEE</t>
  </si>
  <si>
    <t>Luxembourg</t>
  </si>
  <si>
    <t>KC62702</t>
  </si>
  <si>
    <t>CBNL</t>
  </si>
  <si>
    <t>Croatia</t>
  </si>
  <si>
    <t>Mexico</t>
  </si>
  <si>
    <t>SW91921</t>
  </si>
  <si>
    <t>MX</t>
  </si>
  <si>
    <t>Pakistan</t>
  </si>
  <si>
    <t>ZR99368</t>
  </si>
  <si>
    <t>PK</t>
  </si>
  <si>
    <t>Jordan</t>
  </si>
  <si>
    <t>KM45799</t>
  </si>
  <si>
    <t>EG</t>
  </si>
  <si>
    <t>Czech Republic</t>
  </si>
  <si>
    <t>MN17341</t>
  </si>
  <si>
    <t>CZSK</t>
  </si>
  <si>
    <t>Belgium</t>
  </si>
  <si>
    <t>Indonesia</t>
  </si>
  <si>
    <t>AW40842</t>
  </si>
  <si>
    <t>ID</t>
  </si>
  <si>
    <t>Philippines</t>
  </si>
  <si>
    <t>KG15403</t>
  </si>
  <si>
    <t>PH</t>
  </si>
  <si>
    <t>Egypt</t>
  </si>
  <si>
    <t>Malaysia</t>
  </si>
  <si>
    <t>LS15602</t>
  </si>
  <si>
    <t>CMY</t>
  </si>
  <si>
    <t>Libya</t>
  </si>
  <si>
    <t>Ecuador</t>
  </si>
  <si>
    <t>XP62606</t>
  </si>
  <si>
    <t>RAN</t>
  </si>
  <si>
    <t>Iraq</t>
  </si>
  <si>
    <t>NV50168</t>
  </si>
  <si>
    <t>CME</t>
  </si>
  <si>
    <t>United Kingdom</t>
  </si>
  <si>
    <t>AL36445</t>
  </si>
  <si>
    <t>UK</t>
  </si>
  <si>
    <t>Palestine</t>
  </si>
  <si>
    <t>Germany</t>
  </si>
  <si>
    <t>BV97446</t>
  </si>
  <si>
    <t>DE</t>
  </si>
  <si>
    <t>South Africa</t>
  </si>
  <si>
    <t>JC24096</t>
  </si>
  <si>
    <t>ZA</t>
  </si>
  <si>
    <t>Tunisia</t>
  </si>
  <si>
    <t>United Arab Emirates</t>
  </si>
  <si>
    <t>France</t>
  </si>
  <si>
    <t>TB87741</t>
  </si>
  <si>
    <t>FR</t>
  </si>
  <si>
    <t>Slovakia</t>
  </si>
  <si>
    <t>Reunion</t>
  </si>
  <si>
    <t>Portugal</t>
  </si>
  <si>
    <t>QS39772</t>
  </si>
  <si>
    <t>PT</t>
  </si>
  <si>
    <t>country_name</t>
  </si>
  <si>
    <t>account_locator</t>
  </si>
  <si>
    <t>identifier</t>
  </si>
  <si>
    <t>Type</t>
  </si>
  <si>
    <t>Market/Function</t>
  </si>
  <si>
    <t>Identifier</t>
  </si>
  <si>
    <t>clean identifier</t>
  </si>
  <si>
    <t>Clean Email</t>
  </si>
  <si>
    <t>Market</t>
  </si>
  <si>
    <t>ANDEAN (RAN)</t>
  </si>
  <si>
    <t>jailer.restrepo@pmi.com</t>
  </si>
  <si>
    <t>Armenia (AM)</t>
  </si>
  <si>
    <t>Hamlet.Unusyan@pmi.com</t>
  </si>
  <si>
    <t>Aspeya</t>
  </si>
  <si>
    <t/>
  </si>
  <si>
    <t>Cristina.Tsiambouris@pmi.com</t>
  </si>
  <si>
    <t>Australia (AU) &amp; New Zealand (NZ)</t>
  </si>
  <si>
    <t>AU</t>
  </si>
  <si>
    <t>Sobitha.Buthgamuwa@pmi.com</t>
  </si>
  <si>
    <t>Austria (AT)</t>
  </si>
  <si>
    <t>Ankit.Rohatgi@pmi.com</t>
  </si>
  <si>
    <t>Azerbaijan (AZ)</t>
  </si>
  <si>
    <t>Baltics Cluster (CBLT)</t>
  </si>
  <si>
    <t>CBLT</t>
  </si>
  <si>
    <t>monika.urbanaviciute@pmi.com</t>
  </si>
  <si>
    <t>Benelux (CBNL)</t>
  </si>
  <si>
    <t>stefan.verschelden@pmi.com</t>
  </si>
  <si>
    <t>Bulgaria (BG)</t>
  </si>
  <si>
    <t>BG</t>
  </si>
  <si>
    <t>Thanassis.Sagriotis@pmi.com</t>
  </si>
  <si>
    <t>Brazil (BR)</t>
  </si>
  <si>
    <t>BR</t>
  </si>
  <si>
    <t>jonas.cruz@pmi.com</t>
  </si>
  <si>
    <t>Cambodia (KH)</t>
  </si>
  <si>
    <t>KH</t>
  </si>
  <si>
    <t>MinhChuc.Ho@pmi.com</t>
  </si>
  <si>
    <t>Canada (CA)</t>
  </si>
  <si>
    <t>CA</t>
  </si>
  <si>
    <t>joanne.estacion@rbhinc.ca</t>
  </si>
  <si>
    <t>CARICAM (CCAR)</t>
  </si>
  <si>
    <t>CCAR</t>
  </si>
  <si>
    <t>Daniel.Diaz@pmi.com</t>
  </si>
  <si>
    <t>Function</t>
  </si>
  <si>
    <t>Commercial (COMM)</t>
  </si>
  <si>
    <t>COMM</t>
  </si>
  <si>
    <t>dorde.rankovic@pmi.com</t>
  </si>
  <si>
    <t>Consumer (CONS)</t>
  </si>
  <si>
    <t>CONS</t>
  </si>
  <si>
    <t>PaulusIndra.Salim@sampoerna.com</t>
  </si>
  <si>
    <t>Corporate (CORP)</t>
  </si>
  <si>
    <t>CORP</t>
  </si>
  <si>
    <t>Bruna.Carvalho@pmi.com</t>
  </si>
  <si>
    <t>Croatia &amp; Slovenia (CCSL)</t>
  </si>
  <si>
    <t>Stathis.Fasolis@pmi.com</t>
  </si>
  <si>
    <t>Cyprus (CY)</t>
  </si>
  <si>
    <t>CY</t>
  </si>
  <si>
    <t>stathis.fasolis@pmi.com</t>
  </si>
  <si>
    <t>Czech (CZ) &amp; Slovakia (SK)</t>
  </si>
  <si>
    <t>CZ</t>
  </si>
  <si>
    <t>martin.snizek@pmi.com</t>
  </si>
  <si>
    <t>Duty Free (FDF)</t>
  </si>
  <si>
    <t>FDF</t>
  </si>
  <si>
    <t>andre.elkhoury@pmi.com</t>
  </si>
  <si>
    <t>Capability</t>
  </si>
  <si>
    <t>EAD (FEA) - Functional EAD node for testing</t>
  </si>
  <si>
    <t>FEA</t>
  </si>
  <si>
    <t>Kamil.Trzepizur@pmi.com</t>
  </si>
  <si>
    <t>Egypt (EG)</t>
  </si>
  <si>
    <t>Mohammed.Abdelfattah@pmi.com</t>
  </si>
  <si>
    <t>Admin</t>
  </si>
  <si>
    <t>Functional Admin Node (FAD)</t>
  </si>
  <si>
    <t>FAD</t>
  </si>
  <si>
    <t>Catarina.Oliveira@pmi.com</t>
  </si>
  <si>
    <t>Finance (FINC)</t>
  </si>
  <si>
    <t>FINC</t>
  </si>
  <si>
    <t>France (FR)</t>
  </si>
  <si>
    <t>Marwa.Kouriat@pmi.com</t>
  </si>
  <si>
    <t>Functional Capability Development (FCD)</t>
  </si>
  <si>
    <t>FCD</t>
  </si>
  <si>
    <t>Functional Capability Testing (FCT)</t>
  </si>
  <si>
    <t>FCT</t>
  </si>
  <si>
    <t>Georgia (GE)</t>
  </si>
  <si>
    <t>GE</t>
  </si>
  <si>
    <t>Germany (DE)</t>
  </si>
  <si>
    <t>michael.koeniger@pmi.com</t>
  </si>
  <si>
    <t>GLPD</t>
  </si>
  <si>
    <t>ewa.kloc-kulesza@pmi.com</t>
  </si>
  <si>
    <t>Greece (GR)</t>
  </si>
  <si>
    <t>GR</t>
  </si>
  <si>
    <t>Vasileios.Botopoulos@pmi.com</t>
  </si>
  <si>
    <t>IDD (IQAR)</t>
  </si>
  <si>
    <t>IQAR</t>
  </si>
  <si>
    <t>leonardo.verrastro@pmi.com</t>
  </si>
  <si>
    <t>India (IN)</t>
  </si>
  <si>
    <t>IN</t>
  </si>
  <si>
    <t>CharlesCedric.Tanedo@pmi.com</t>
  </si>
  <si>
    <t>Indonesia (ID)</t>
  </si>
  <si>
    <t>Ivana.Octavia@sampoerna.com</t>
  </si>
  <si>
    <t>Israel (IL)</t>
  </si>
  <si>
    <t>IL</t>
  </si>
  <si>
    <t>Italy (IT)</t>
  </si>
  <si>
    <t>IT</t>
  </si>
  <si>
    <t>Andrea.Guarnieri@pmi.com</t>
  </si>
  <si>
    <t>InfoSec (INSC)</t>
  </si>
  <si>
    <t>INSC</t>
  </si>
  <si>
    <t>IT Management (ITMG)</t>
  </si>
  <si>
    <t>ITMG</t>
  </si>
  <si>
    <t>Samatha.Arishetty@pmi.com</t>
  </si>
  <si>
    <t>Kazakhstan (KZ)</t>
  </si>
  <si>
    <t>KZ</t>
  </si>
  <si>
    <t>Asem.Zhiketova@pmi.com</t>
  </si>
  <si>
    <t>Korea (KR)</t>
  </si>
  <si>
    <t>KR</t>
  </si>
  <si>
    <t>Michael.Kim@pmi.com</t>
  </si>
  <si>
    <t>Latvia (LV) / Lithuania (LT) / Estonia (ET)</t>
  </si>
  <si>
    <t>LV</t>
  </si>
  <si>
    <t>Jelena.Mirzojeva@pmi.com</t>
  </si>
  <si>
    <t>Life Science (LFSC)</t>
  </si>
  <si>
    <t>LFSC</t>
  </si>
  <si>
    <t>Bjoern.Seifert@pmi.com</t>
  </si>
  <si>
    <t>Cluster</t>
  </si>
  <si>
    <t>Malaysia (MY) / Singapure</t>
  </si>
  <si>
    <t>MY</t>
  </si>
  <si>
    <t>Manufacturing (MNFG)</t>
  </si>
  <si>
    <t>MNFG</t>
  </si>
  <si>
    <t>Cluster Middle East (CME)</t>
  </si>
  <si>
    <t>Ayushi.Jain@contracted.pmi.com</t>
  </si>
  <si>
    <t>MEA / RME - Middle East</t>
  </si>
  <si>
    <t>DLPMIGlobalITRegion2DataSupport@pmi.com</t>
  </si>
  <si>
    <t>Mexico (MX)</t>
  </si>
  <si>
    <t>daniel.diaz@pmi.com</t>
  </si>
  <si>
    <t>Moldavia (MD)</t>
  </si>
  <si>
    <t>MD</t>
  </si>
  <si>
    <t>oleh.ivchenko@pmi.com</t>
  </si>
  <si>
    <t>Morocco (MA)</t>
  </si>
  <si>
    <t>Nordics (CNRD)</t>
  </si>
  <si>
    <t>natalia.polyakova@swma.se</t>
  </si>
  <si>
    <t>People and Culture (PNCL)</t>
  </si>
  <si>
    <t>PNCL</t>
  </si>
  <si>
    <t>Monika.Mardaus@pmi.com</t>
  </si>
  <si>
    <t>Pakistan (PK)</t>
  </si>
  <si>
    <t>ammar.ahmad@pmi.com</t>
  </si>
  <si>
    <t>Philippines (PH)</t>
  </si>
  <si>
    <t>wilhelm.su@pmi.com</t>
  </si>
  <si>
    <t>Poland (PL)</t>
  </si>
  <si>
    <t>PL</t>
  </si>
  <si>
    <t>jelena.mirzojeva@pmi.com</t>
  </si>
  <si>
    <t>Portugal (PT)</t>
  </si>
  <si>
    <t>javier.corcuera@pmi.com</t>
  </si>
  <si>
    <t>Procurement (PROC)</t>
  </si>
  <si>
    <t>PROC</t>
  </si>
  <si>
    <t>Research and Development (CRND)</t>
  </si>
  <si>
    <t>CRND</t>
  </si>
  <si>
    <t>Risk and Assurance (RISK)</t>
  </si>
  <si>
    <t>RISK</t>
  </si>
  <si>
    <t>Serbia (SEE Cluster)</t>
  </si>
  <si>
    <t>SEE Cluster</t>
  </si>
  <si>
    <t>nenad.djordjevic@pmi.com</t>
  </si>
  <si>
    <t>Sub-Sahara Africa (CSSA)</t>
  </si>
  <si>
    <t>CSSA</t>
  </si>
  <si>
    <t>mthokozisi.nhlabatsi@contracted.pmi.com</t>
  </si>
  <si>
    <t>Spain (ES)</t>
  </si>
  <si>
    <t>ES</t>
  </si>
  <si>
    <t>Supply Chain (SPCH)</t>
  </si>
  <si>
    <t>SPCH</t>
  </si>
  <si>
    <t>kirill.ivanov@pmi.com</t>
  </si>
  <si>
    <t>Sustainability (SUST)</t>
  </si>
  <si>
    <t>SUST</t>
  </si>
  <si>
    <t>Switzerland (CH)</t>
  </si>
  <si>
    <t>CH</t>
  </si>
  <si>
    <t>audrey.daboudet@pmi.com</t>
  </si>
  <si>
    <t>Taiwan (TW)</t>
  </si>
  <si>
    <t>ping.gu@pmi.com</t>
  </si>
  <si>
    <t>Thailand (TH)</t>
  </si>
  <si>
    <t>TH</t>
  </si>
  <si>
    <t>meteerat.taneerat@pmi.com</t>
  </si>
  <si>
    <t>Turkey</t>
  </si>
  <si>
    <t>Simge.Yildirim@pmi.com</t>
  </si>
  <si>
    <t>Ukraine (UA)</t>
  </si>
  <si>
    <t>UA</t>
  </si>
  <si>
    <t>United Kingdom (UK)</t>
  </si>
  <si>
    <t>Nikolay.Salionov@pmi.com</t>
  </si>
  <si>
    <t>Uruguay (UY)</t>
  </si>
  <si>
    <t>UY</t>
  </si>
  <si>
    <t>gabriel.guzman@pmi.com</t>
  </si>
  <si>
    <t>USA (US)</t>
  </si>
  <si>
    <t>Rafik.Bhura@smpmi.com</t>
  </si>
  <si>
    <t>Zbeerka (EE) / Others</t>
  </si>
  <si>
    <t>EE</t>
  </si>
  <si>
    <t>Laura.PerezMonge@pmi.com</t>
  </si>
  <si>
    <t>Aliaksei.Karneyavets@pmi.com</t>
  </si>
  <si>
    <t>Sabina.Rakova@pmi.com</t>
  </si>
  <si>
    <t>Preeti.Matkar@rbhinc.ca</t>
  </si>
  <si>
    <t>Saputra, Ricky Anders</t>
  </si>
  <si>
    <t>Salim, Paulus Indra</t>
  </si>
  <si>
    <t>Fernandes, Teresa</t>
  </si>
  <si>
    <t>Danijal.Morankic@pmi.com</t>
  </si>
  <si>
    <t>Kyriaki.Hadjiossif@pmi.com</t>
  </si>
  <si>
    <t>Adam.Cellar@pmi.com</t>
  </si>
  <si>
    <t>Andre.ElKhoury@pmi.com</t>
  </si>
  <si>
    <t>Xavier.Lachat@pmi.com</t>
  </si>
  <si>
    <t>Michael.Koeniger@pmi.com</t>
  </si>
  <si>
    <t>Kloc-Kulesza, Ewa</t>
  </si>
  <si>
    <t>Manos.Mitsis@pmi.com</t>
  </si>
  <si>
    <t>Ingrid.Wijaya@sampoerna.com</t>
  </si>
  <si>
    <t>Danny.Chang@pmi.com</t>
  </si>
  <si>
    <t>Castillo, Carlos E.</t>
  </si>
  <si>
    <t>CuiYin.Fong@pmi.com</t>
  </si>
  <si>
    <t>Levent.Asici@pmi.com</t>
  </si>
  <si>
    <t>Solmaz.Azimi@swma.se</t>
  </si>
  <si>
    <t>Zainab.Imran@pmi.com</t>
  </si>
  <si>
    <t>Ludomir.Mossakowski@pmi.com</t>
  </si>
  <si>
    <t>diogo.algarvio@pmi.com</t>
  </si>
  <si>
    <t>Nenad.Djordjevic@pmi.com</t>
  </si>
  <si>
    <t>Pierre.Ndione@pmi.com</t>
  </si>
  <si>
    <t>Audrey.Daboudet@pmi.com</t>
  </si>
  <si>
    <t>MinJung.Kim@pmi.com</t>
  </si>
  <si>
    <t>Guilherme.Pedroso@pmi.com</t>
  </si>
  <si>
    <t>email</t>
  </si>
  <si>
    <t>WaiKong.Leong@pmi.com</t>
  </si>
  <si>
    <t>ZC94311</t>
  </si>
  <si>
    <t>VP63759</t>
  </si>
  <si>
    <t>Zhanna.Imanbekova@pmi.com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</si>
</sst>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0" xfId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Zhanna.Imanbekova@pm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B8EB3-BA67-4E2E-8531-C2317F1A27F7}">
  <dimension ref="A1:D37"/>
  <sheetViews>
    <sheetView workbookViewId="0">
      <selection activeCell="B37" sqref="B37"/>
    </sheetView>
  </sheetViews>
  <sheetFormatPr defaultRowHeight="15" x14ac:dyDescent="0.25"/>
  <cols>
    <col min="1" max="1" width="19.7109375" bestFit="1" customWidth="1"/>
    <col min="2" max="2" width="15.42578125" bestFit="1" customWidth="1"/>
    <col min="3" max="3" width="8.85546875" bestFit="1" customWidth="1"/>
    <col min="4" max="4" width="34.28515625" customWidth="1"/>
  </cols>
  <sheetData>
    <row r="1" spans="1:4" x14ac:dyDescent="0.25">
      <c r="A1" t="s">
        <v>84</v>
      </c>
      <c r="B1" t="s">
        <v>85</v>
      </c>
      <c r="C1" t="s">
        <v>86</v>
      </c>
      <c r="D1" t="s">
        <v>302</v>
      </c>
    </row>
    <row r="2" spans="1:4" x14ac:dyDescent="0.25">
      <c r="A2" t="s">
        <v>0</v>
      </c>
      <c r="B2" t="s">
        <v>1</v>
      </c>
      <c r="C2" t="s">
        <v>2</v>
      </c>
      <c r="D2" t="str">
        <f>_xlfn.XLOOKUP(Sheet1!C2,PIC!D:D,PIC!E:E,"notfound")</f>
        <v>MinJung.Kim@pmi.com</v>
      </c>
    </row>
    <row r="3" spans="1:4" x14ac:dyDescent="0.25">
      <c r="A3" t="s">
        <v>3</v>
      </c>
      <c r="B3" t="s">
        <v>4</v>
      </c>
      <c r="C3" t="s">
        <v>5</v>
      </c>
      <c r="D3" t="str">
        <f>_xlfn.XLOOKUP(Sheet1!C3,PIC!D:D,PIC!E:E,"notfound")</f>
        <v>Hamlet.Unusyan@pmi.com</v>
      </c>
    </row>
    <row r="4" spans="1:4" x14ac:dyDescent="0.25">
      <c r="A4" t="s">
        <v>6</v>
      </c>
      <c r="B4" t="s">
        <v>7</v>
      </c>
      <c r="C4" t="s">
        <v>8</v>
      </c>
      <c r="D4" t="str">
        <f>_xlfn.XLOOKUP(Sheet1!C4,PIC!D:D,PIC!E:E,"notfound")</f>
        <v>Mohammed.Abdelfattah@pmi.com</v>
      </c>
    </row>
    <row r="5" spans="1:4" x14ac:dyDescent="0.25">
      <c r="A5" t="s">
        <v>9</v>
      </c>
      <c r="B5" t="s">
        <v>10</v>
      </c>
      <c r="C5" t="s">
        <v>11</v>
      </c>
      <c r="D5" t="str">
        <f>_xlfn.XLOOKUP(Sheet1!C5,PIC!D:D,PIC!E:E,"notfound")</f>
        <v>Ankit.Rohatgi@pmi.com</v>
      </c>
    </row>
    <row r="6" spans="1:4" x14ac:dyDescent="0.25">
      <c r="A6" t="s">
        <v>12</v>
      </c>
      <c r="B6" t="s">
        <v>13</v>
      </c>
      <c r="C6" t="s">
        <v>14</v>
      </c>
      <c r="D6" t="str">
        <f>_xlfn.XLOOKUP(Sheet1!C6,PIC!D:D,PIC!E:E,"notfound")</f>
        <v>Solmaz.Azimi@swma.se</v>
      </c>
    </row>
    <row r="7" spans="1:4" x14ac:dyDescent="0.25">
      <c r="A7" t="s">
        <v>15</v>
      </c>
      <c r="B7" t="s">
        <v>16</v>
      </c>
      <c r="C7" t="s">
        <v>17</v>
      </c>
      <c r="D7" t="str">
        <f>_xlfn.XLOOKUP(Sheet1!C7,PIC!D:D,PIC!E:E,"notfound")</f>
        <v>Danny.Chang@pmi.com</v>
      </c>
    </row>
    <row r="8" spans="1:4" x14ac:dyDescent="0.25">
      <c r="A8" t="s">
        <v>18</v>
      </c>
      <c r="B8" t="s">
        <v>19</v>
      </c>
      <c r="C8" t="s">
        <v>20</v>
      </c>
      <c r="D8" t="str">
        <f>_xlfn.XLOOKUP(Sheet1!C8,PIC!D:D,PIC!E:E,"notfound")</f>
        <v>Hamlet.Unusyan@pmi.com</v>
      </c>
    </row>
    <row r="9" spans="1:4" x14ac:dyDescent="0.25">
      <c r="A9" t="s">
        <v>21</v>
      </c>
      <c r="B9" t="s">
        <v>22</v>
      </c>
      <c r="C9" t="s">
        <v>23</v>
      </c>
      <c r="D9" t="str">
        <f>_xlfn.XLOOKUP(Sheet1!C9,PIC!D:D,PIC!E:E,"notfound")</f>
        <v>Rafik.Bhura@smpmi.com</v>
      </c>
    </row>
    <row r="10" spans="1:4" x14ac:dyDescent="0.25">
      <c r="A10" t="s">
        <v>24</v>
      </c>
      <c r="B10" t="s">
        <v>25</v>
      </c>
      <c r="C10" t="s">
        <v>26</v>
      </c>
      <c r="D10" t="str">
        <f>_xlfn.XLOOKUP(Sheet1!C10,PIC!D:D,PIC!E:E,"notfound")</f>
        <v>Danijal.Morankic@pmi.com</v>
      </c>
    </row>
    <row r="11" spans="1:4" x14ac:dyDescent="0.25">
      <c r="A11" t="s">
        <v>27</v>
      </c>
      <c r="B11" t="s">
        <v>28</v>
      </c>
      <c r="C11" t="s">
        <v>29</v>
      </c>
      <c r="D11" t="s">
        <v>241</v>
      </c>
    </row>
    <row r="12" spans="1:4" x14ac:dyDescent="0.25">
      <c r="A12" t="s">
        <v>30</v>
      </c>
      <c r="B12" t="s">
        <v>31</v>
      </c>
      <c r="C12" t="s">
        <v>32</v>
      </c>
      <c r="D12" t="str">
        <f>_xlfn.XLOOKUP(Sheet1!C12,PIC!D:D,PIC!E:E,"    notfound")</f>
        <v>stefan.verschelden@pmi.com</v>
      </c>
    </row>
    <row r="13" spans="1:4" x14ac:dyDescent="0.25">
      <c r="A13" t="s">
        <v>33</v>
      </c>
      <c r="B13" t="s">
        <v>25</v>
      </c>
      <c r="C13" t="s">
        <v>26</v>
      </c>
      <c r="D13" t="str">
        <f>_xlfn.XLOOKUP(Sheet1!C13,PIC!D:D,PIC!E:E,"    notfound")</f>
        <v>Danijal.Morankic@pmi.com</v>
      </c>
    </row>
    <row r="14" spans="1:4" x14ac:dyDescent="0.25">
      <c r="A14" t="s">
        <v>34</v>
      </c>
      <c r="B14" t="s">
        <v>35</v>
      </c>
      <c r="C14" t="s">
        <v>36</v>
      </c>
      <c r="D14" t="str">
        <f>_xlfn.XLOOKUP(Sheet1!C14,PIC!D:D,PIC!E:E,"    notfound")</f>
        <v>Daniel.Diaz@pmi.com</v>
      </c>
    </row>
    <row r="15" spans="1:4" x14ac:dyDescent="0.25">
      <c r="A15" t="s">
        <v>37</v>
      </c>
      <c r="B15" t="s">
        <v>38</v>
      </c>
      <c r="C15" t="s">
        <v>39</v>
      </c>
      <c r="D15" t="str">
        <f>_xlfn.XLOOKUP(Sheet1!C15,PIC!D:D,PIC!E:E,"    notfound")</f>
        <v>Zainab.Imran@pmi.com</v>
      </c>
    </row>
    <row r="16" spans="1:4" x14ac:dyDescent="0.25">
      <c r="A16" t="s">
        <v>40</v>
      </c>
      <c r="B16" t="s">
        <v>41</v>
      </c>
      <c r="C16" t="s">
        <v>42</v>
      </c>
      <c r="D16" t="str">
        <f>_xlfn.XLOOKUP(Sheet1!C16,PIC!D:D,PIC!E:E,"    notfound")</f>
        <v>Mohammed.Abdelfattah@pmi.com</v>
      </c>
    </row>
    <row r="17" spans="1:4" x14ac:dyDescent="0.25">
      <c r="A17" t="s">
        <v>43</v>
      </c>
      <c r="B17" t="s">
        <v>44</v>
      </c>
      <c r="C17" t="s">
        <v>45</v>
      </c>
      <c r="D17" t="str">
        <f>_xlfn.XLOOKUP(Sheet1!C17,PIC!D:D,PIC!E:E,"    notfound")</f>
        <v>Adam.Cellar@pmi.com</v>
      </c>
    </row>
    <row r="18" spans="1:4" x14ac:dyDescent="0.25">
      <c r="A18" t="s">
        <v>46</v>
      </c>
      <c r="B18" t="s">
        <v>31</v>
      </c>
      <c r="C18" t="s">
        <v>32</v>
      </c>
      <c r="D18" t="str">
        <f>_xlfn.XLOOKUP(Sheet1!C18,PIC!D:D,PIC!E:E,"    notfound")</f>
        <v>stefan.verschelden@pmi.com</v>
      </c>
    </row>
    <row r="19" spans="1:4" x14ac:dyDescent="0.25">
      <c r="A19" t="s">
        <v>47</v>
      </c>
      <c r="B19" t="s">
        <v>48</v>
      </c>
      <c r="C19" t="s">
        <v>49</v>
      </c>
      <c r="D19" t="str">
        <f>_xlfn.XLOOKUP(Sheet1!C19,PIC!D:D,PIC!E:E,"    notfound")</f>
        <v>Ingrid.Wijaya@sampoerna.com</v>
      </c>
    </row>
    <row r="20" spans="1:4" x14ac:dyDescent="0.25">
      <c r="A20" t="s">
        <v>50</v>
      </c>
      <c r="B20" t="s">
        <v>51</v>
      </c>
      <c r="C20" t="s">
        <v>52</v>
      </c>
      <c r="D20" t="str">
        <f>_xlfn.XLOOKUP(Sheet1!C20,PIC!D:D,PIC!E:E,"    notfound")</f>
        <v>wilhelm.su@pmi.com</v>
      </c>
    </row>
    <row r="21" spans="1:4" x14ac:dyDescent="0.25">
      <c r="A21" t="s">
        <v>53</v>
      </c>
      <c r="B21" t="s">
        <v>41</v>
      </c>
      <c r="C21" t="s">
        <v>42</v>
      </c>
      <c r="D21" t="str">
        <f>_xlfn.XLOOKUP(Sheet1!C21,PIC!D:D,PIC!E:E,"    notfound")</f>
        <v>Mohammed.Abdelfattah@pmi.com</v>
      </c>
    </row>
    <row r="22" spans="1:4" x14ac:dyDescent="0.25">
      <c r="A22" t="s">
        <v>54</v>
      </c>
      <c r="B22" t="s">
        <v>55</v>
      </c>
      <c r="C22" t="s">
        <v>56</v>
      </c>
      <c r="D22" t="s">
        <v>303</v>
      </c>
    </row>
    <row r="23" spans="1:4" x14ac:dyDescent="0.25">
      <c r="A23" t="s">
        <v>57</v>
      </c>
      <c r="B23" t="s">
        <v>7</v>
      </c>
      <c r="C23" t="s">
        <v>8</v>
      </c>
      <c r="D23" t="str">
        <f>_xlfn.XLOOKUP(Sheet1!C23,PIC!D:D,PIC!E:E,"    notfound")</f>
        <v>Mohammed.Abdelfattah@pmi.com</v>
      </c>
    </row>
    <row r="24" spans="1:4" x14ac:dyDescent="0.25">
      <c r="A24" t="s">
        <v>58</v>
      </c>
      <c r="B24" t="s">
        <v>59</v>
      </c>
      <c r="C24" t="s">
        <v>60</v>
      </c>
      <c r="D24" t="str">
        <f>_xlfn.XLOOKUP(Sheet1!C24,PIC!D:D,PIC!E:E,"    notfound")</f>
        <v>Laura.PerezMonge@pmi.com</v>
      </c>
    </row>
    <row r="25" spans="1:4" x14ac:dyDescent="0.25">
      <c r="A25" t="s">
        <v>61</v>
      </c>
      <c r="B25" t="s">
        <v>62</v>
      </c>
      <c r="C25" t="s">
        <v>63</v>
      </c>
      <c r="D25" t="str">
        <f>_xlfn.XLOOKUP(Sheet1!C25,PIC!D:D,PIC!E:E,"    notfound")</f>
        <v>Levent.Asici@pmi.com</v>
      </c>
    </row>
    <row r="26" spans="1:4" x14ac:dyDescent="0.25">
      <c r="A26" t="s">
        <v>64</v>
      </c>
      <c r="B26" t="s">
        <v>65</v>
      </c>
      <c r="C26" t="s">
        <v>66</v>
      </c>
      <c r="D26" t="str">
        <f>_xlfn.XLOOKUP(Sheet1!C26,PIC!D:D,PIC!E:E,"    notfound")</f>
        <v>Guilherme.Pedroso@pmi.com</v>
      </c>
    </row>
    <row r="27" spans="1:4" x14ac:dyDescent="0.25">
      <c r="A27" t="s">
        <v>67</v>
      </c>
      <c r="B27" t="s">
        <v>41</v>
      </c>
      <c r="C27" t="s">
        <v>42</v>
      </c>
      <c r="D27" t="str">
        <f>_xlfn.XLOOKUP(Sheet1!C27,PIC!D:D,PIC!E:E,"    notfound")</f>
        <v>Mohammed.Abdelfattah@pmi.com</v>
      </c>
    </row>
    <row r="28" spans="1:4" x14ac:dyDescent="0.25">
      <c r="A28" t="s">
        <v>68</v>
      </c>
      <c r="B28" t="s">
        <v>69</v>
      </c>
      <c r="C28" t="s">
        <v>70</v>
      </c>
      <c r="D28" t="str">
        <f>_xlfn.XLOOKUP(Sheet1!C28,PIC!D:D,PIC!E:E,"    notfound")</f>
        <v>Michael.Koeniger@pmi.com</v>
      </c>
    </row>
    <row r="29" spans="1:4" x14ac:dyDescent="0.25">
      <c r="A29" t="s">
        <v>71</v>
      </c>
      <c r="B29" t="s">
        <v>72</v>
      </c>
      <c r="C29" t="s">
        <v>73</v>
      </c>
      <c r="D29" t="s">
        <v>152</v>
      </c>
    </row>
    <row r="30" spans="1:4" x14ac:dyDescent="0.25">
      <c r="A30" t="s">
        <v>74</v>
      </c>
      <c r="B30" t="s">
        <v>7</v>
      </c>
      <c r="C30" t="s">
        <v>8</v>
      </c>
      <c r="D30" t="str">
        <f>_xlfn.XLOOKUP(Sheet1!C30,PIC!D:D,PIC!E:E,"    notfound")</f>
        <v>Mohammed.Abdelfattah@pmi.com</v>
      </c>
    </row>
    <row r="31" spans="1:4" x14ac:dyDescent="0.25">
      <c r="A31" t="s">
        <v>75</v>
      </c>
      <c r="B31" t="s">
        <v>62</v>
      </c>
      <c r="C31" t="s">
        <v>63</v>
      </c>
      <c r="D31" t="str">
        <f>_xlfn.XLOOKUP(Sheet1!C31,PIC!D:D,PIC!E:E,"    notfound")</f>
        <v>Levent.Asici@pmi.com</v>
      </c>
    </row>
    <row r="32" spans="1:4" x14ac:dyDescent="0.25">
      <c r="A32" t="s">
        <v>76</v>
      </c>
      <c r="B32" t="s">
        <v>77</v>
      </c>
      <c r="C32" t="s">
        <v>78</v>
      </c>
      <c r="D32" t="str">
        <f>_xlfn.XLOOKUP(Sheet1!C32,PIC!D:D,PIC!E:E,"    notfound")</f>
        <v>Xavier.Lachat@pmi.com</v>
      </c>
    </row>
    <row r="33" spans="1:4" x14ac:dyDescent="0.25">
      <c r="A33" t="s">
        <v>79</v>
      </c>
      <c r="B33" t="s">
        <v>44</v>
      </c>
      <c r="C33" t="s">
        <v>45</v>
      </c>
      <c r="D33" t="str">
        <f>_xlfn.XLOOKUP(Sheet1!C33,PIC!D:D,PIC!E:E,"    notfound")</f>
        <v>Adam.Cellar@pmi.com</v>
      </c>
    </row>
    <row r="34" spans="1:4" x14ac:dyDescent="0.25">
      <c r="A34" t="s">
        <v>80</v>
      </c>
      <c r="B34" t="s">
        <v>72</v>
      </c>
      <c r="C34" t="s">
        <v>73</v>
      </c>
      <c r="D34" t="s">
        <v>152</v>
      </c>
    </row>
    <row r="35" spans="1:4" x14ac:dyDescent="0.25">
      <c r="A35" t="s">
        <v>81</v>
      </c>
      <c r="B35" t="s">
        <v>82</v>
      </c>
      <c r="C35" t="s">
        <v>83</v>
      </c>
      <c r="D35" t="str">
        <f>_xlfn.XLOOKUP(Sheet1!C35,PIC!D:D,PIC!E:E,"    notfound")</f>
        <v>diogo.algarvio@pmi.com</v>
      </c>
    </row>
    <row r="36" spans="1:4" x14ac:dyDescent="0.25">
      <c r="B36" t="s">
        <v>304</v>
      </c>
      <c r="C36" t="s">
        <v>193</v>
      </c>
      <c r="D36" s="3" t="s">
        <v>306</v>
      </c>
    </row>
    <row r="37" spans="1:4" x14ac:dyDescent="0.25">
      <c r="B37" t="s">
        <v>305</v>
      </c>
      <c r="D37" t="s">
        <v>119</v>
      </c>
    </row>
  </sheetData>
  <conditionalFormatting sqref="B37">
    <cfRule type="duplicateValues" dxfId="0" priority="1"/>
  </conditionalFormatting>
  <hyperlinks>
    <hyperlink ref="D36" r:id="rId1" xr:uid="{DD460DCF-C4B8-4E1E-BD95-3D882FA44FF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36427-EE06-48F6-833E-811C04EAD728}">
  <dimension ref="A1:F74"/>
  <sheetViews>
    <sheetView tabSelected="1" workbookViewId="0">
      <selection activeCell="B36" sqref="B36"/>
    </sheetView>
  </sheetViews>
  <sheetFormatPr defaultRowHeight="15" x14ac:dyDescent="0.25"/>
  <cols>
    <col min="2" max="2" width="39.28515625" bestFit="1" customWidth="1"/>
    <col min="5" max="5" width="42.5703125" bestFit="1" customWidth="1"/>
  </cols>
  <sheetData>
    <row r="1" spans="1:6" x14ac:dyDescent="0.25">
      <c r="A1" t="s">
        <v>87</v>
      </c>
      <c r="B1" t="s">
        <v>88</v>
      </c>
      <c r="C1" t="s">
        <v>89</v>
      </c>
      <c r="D1" t="s">
        <v>90</v>
      </c>
      <c r="E1" s="1" t="str">
        <f t="shared" ref="E1:E64" si="0">IF(F1="","",TRIM(_xlfn.LET(
        _xlpm.text,F1,
        _xlpm.startPos,IF(ISNUMBER(SEARCH("DEL =",_xlpm.text)),SEARCH("DEL =",_xlpm.text)+6,IF(ISNUMBER(SEARCH("=",_xlpm.text)),SEARCH("=",_xlpm.text)+2,1)),
        _xlpm.endPos,IFERROR(SEARCH(";",_xlpm.text,_xlpm.startPos),LEN(_xlpm.text)+1),
        MID(_xlpm.text,_xlpm.startPos,_xlpm.endPos-_xlpm.startPos)
    )))</f>
        <v>Clean Email</v>
      </c>
      <c r="F1" t="s">
        <v>91</v>
      </c>
    </row>
    <row r="2" spans="1:6" x14ac:dyDescent="0.25">
      <c r="A2" t="s">
        <v>92</v>
      </c>
      <c r="B2" t="s">
        <v>93</v>
      </c>
      <c r="C2" t="s">
        <v>60</v>
      </c>
      <c r="D2" t="s">
        <v>60</v>
      </c>
      <c r="E2" s="2" t="s">
        <v>273</v>
      </c>
      <c r="F2" t="s">
        <v>94</v>
      </c>
    </row>
    <row r="3" spans="1:6" x14ac:dyDescent="0.25">
      <c r="A3" t="s">
        <v>92</v>
      </c>
      <c r="B3" t="s">
        <v>95</v>
      </c>
      <c r="C3" t="s">
        <v>5</v>
      </c>
      <c r="D3" t="s">
        <v>5</v>
      </c>
      <c r="E3" s="1" t="s">
        <v>96</v>
      </c>
      <c r="F3" t="s">
        <v>96</v>
      </c>
    </row>
    <row r="4" spans="1:6" x14ac:dyDescent="0.25">
      <c r="A4" t="s">
        <v>92</v>
      </c>
      <c r="B4" t="s">
        <v>97</v>
      </c>
      <c r="C4" t="s">
        <v>98</v>
      </c>
      <c r="D4" t="s">
        <v>98</v>
      </c>
      <c r="E4" s="2" t="s">
        <v>98</v>
      </c>
      <c r="F4" t="s">
        <v>99</v>
      </c>
    </row>
    <row r="5" spans="1:6" x14ac:dyDescent="0.25">
      <c r="A5" t="s">
        <v>92</v>
      </c>
      <c r="B5" t="s">
        <v>100</v>
      </c>
      <c r="C5" t="s">
        <v>101</v>
      </c>
      <c r="D5" t="s">
        <v>101</v>
      </c>
      <c r="E5" s="1" t="s">
        <v>102</v>
      </c>
      <c r="F5" t="s">
        <v>102</v>
      </c>
    </row>
    <row r="6" spans="1:6" x14ac:dyDescent="0.25">
      <c r="A6" t="s">
        <v>92</v>
      </c>
      <c r="B6" t="s">
        <v>103</v>
      </c>
      <c r="C6" t="s">
        <v>11</v>
      </c>
      <c r="D6" t="s">
        <v>11</v>
      </c>
      <c r="E6" s="2" t="s">
        <v>104</v>
      </c>
      <c r="F6" t="s">
        <v>104</v>
      </c>
    </row>
    <row r="7" spans="1:6" x14ac:dyDescent="0.25">
      <c r="A7" t="s">
        <v>92</v>
      </c>
      <c r="B7" t="s">
        <v>105</v>
      </c>
      <c r="C7" t="s">
        <v>20</v>
      </c>
      <c r="D7" t="s">
        <v>20</v>
      </c>
      <c r="E7" s="1" t="s">
        <v>96</v>
      </c>
      <c r="F7" t="s">
        <v>96</v>
      </c>
    </row>
    <row r="8" spans="1:6" x14ac:dyDescent="0.25">
      <c r="A8" t="s">
        <v>92</v>
      </c>
      <c r="B8" t="s">
        <v>106</v>
      </c>
      <c r="C8" t="s">
        <v>107</v>
      </c>
      <c r="D8" t="s">
        <v>107</v>
      </c>
      <c r="E8" s="2" t="s">
        <v>274</v>
      </c>
      <c r="F8" t="s">
        <v>108</v>
      </c>
    </row>
    <row r="9" spans="1:6" x14ac:dyDescent="0.25">
      <c r="A9" t="s">
        <v>92</v>
      </c>
      <c r="B9" t="s">
        <v>109</v>
      </c>
      <c r="C9" t="s">
        <v>32</v>
      </c>
      <c r="D9" t="s">
        <v>32</v>
      </c>
      <c r="E9" s="1" t="s">
        <v>110</v>
      </c>
      <c r="F9" t="s">
        <v>110</v>
      </c>
    </row>
    <row r="10" spans="1:6" x14ac:dyDescent="0.25">
      <c r="A10" t="s">
        <v>92</v>
      </c>
      <c r="B10" t="s">
        <v>111</v>
      </c>
      <c r="C10" t="s">
        <v>112</v>
      </c>
      <c r="D10" t="s">
        <v>112</v>
      </c>
      <c r="E10" s="2" t="s">
        <v>275</v>
      </c>
      <c r="F10" t="s">
        <v>113</v>
      </c>
    </row>
    <row r="11" spans="1:6" x14ac:dyDescent="0.25">
      <c r="A11" t="s">
        <v>92</v>
      </c>
      <c r="B11" t="s">
        <v>114</v>
      </c>
      <c r="C11" t="s">
        <v>115</v>
      </c>
      <c r="D11" t="s">
        <v>115</v>
      </c>
      <c r="E11" s="1" t="s">
        <v>116</v>
      </c>
      <c r="F11" t="s">
        <v>116</v>
      </c>
    </row>
    <row r="12" spans="1:6" x14ac:dyDescent="0.25">
      <c r="A12" t="s">
        <v>92</v>
      </c>
      <c r="B12" t="s">
        <v>117</v>
      </c>
      <c r="C12" t="s">
        <v>118</v>
      </c>
      <c r="D12" t="s">
        <v>118</v>
      </c>
      <c r="E12" s="2" t="s">
        <v>98</v>
      </c>
      <c r="F12" t="s">
        <v>119</v>
      </c>
    </row>
    <row r="13" spans="1:6" x14ac:dyDescent="0.25">
      <c r="A13" t="s">
        <v>92</v>
      </c>
      <c r="B13" t="s">
        <v>120</v>
      </c>
      <c r="C13" t="s">
        <v>121</v>
      </c>
      <c r="D13" t="s">
        <v>121</v>
      </c>
      <c r="E13" s="1" t="s">
        <v>276</v>
      </c>
      <c r="F13" t="s">
        <v>122</v>
      </c>
    </row>
    <row r="14" spans="1:6" x14ac:dyDescent="0.25">
      <c r="A14" t="s">
        <v>92</v>
      </c>
      <c r="B14" t="s">
        <v>123</v>
      </c>
      <c r="C14" t="s">
        <v>124</v>
      </c>
      <c r="D14" t="s">
        <v>124</v>
      </c>
      <c r="E14" s="2" t="s">
        <v>98</v>
      </c>
      <c r="F14" t="s">
        <v>125</v>
      </c>
    </row>
    <row r="15" spans="1:6" x14ac:dyDescent="0.25">
      <c r="A15" t="s">
        <v>126</v>
      </c>
      <c r="B15" t="s">
        <v>127</v>
      </c>
      <c r="C15" t="s">
        <v>128</v>
      </c>
      <c r="D15" t="s">
        <v>128</v>
      </c>
      <c r="E15" s="1" t="s">
        <v>277</v>
      </c>
      <c r="F15" t="s">
        <v>129</v>
      </c>
    </row>
    <row r="16" spans="1:6" x14ac:dyDescent="0.25">
      <c r="A16" t="s">
        <v>126</v>
      </c>
      <c r="B16" t="s">
        <v>130</v>
      </c>
      <c r="C16" t="s">
        <v>131</v>
      </c>
      <c r="D16" t="s">
        <v>131</v>
      </c>
      <c r="E16" s="2" t="s">
        <v>278</v>
      </c>
      <c r="F16" t="s">
        <v>132</v>
      </c>
    </row>
    <row r="17" spans="1:6" x14ac:dyDescent="0.25">
      <c r="A17" t="s">
        <v>126</v>
      </c>
      <c r="B17" t="s">
        <v>133</v>
      </c>
      <c r="C17" t="s">
        <v>134</v>
      </c>
      <c r="D17" t="s">
        <v>134</v>
      </c>
      <c r="E17" s="1" t="s">
        <v>279</v>
      </c>
      <c r="F17" t="s">
        <v>135</v>
      </c>
    </row>
    <row r="18" spans="1:6" x14ac:dyDescent="0.25">
      <c r="A18" t="s">
        <v>92</v>
      </c>
      <c r="B18" t="s">
        <v>136</v>
      </c>
      <c r="C18" t="s">
        <v>26</v>
      </c>
      <c r="D18" t="s">
        <v>26</v>
      </c>
      <c r="E18" s="2" t="s">
        <v>280</v>
      </c>
      <c r="F18" t="s">
        <v>137</v>
      </c>
    </row>
    <row r="19" spans="1:6" x14ac:dyDescent="0.25">
      <c r="A19" t="s">
        <v>92</v>
      </c>
      <c r="B19" t="s">
        <v>138</v>
      </c>
      <c r="C19" t="s">
        <v>139</v>
      </c>
      <c r="D19" t="s">
        <v>139</v>
      </c>
      <c r="E19" s="1" t="s">
        <v>281</v>
      </c>
      <c r="F19" t="s">
        <v>140</v>
      </c>
    </row>
    <row r="20" spans="1:6" x14ac:dyDescent="0.25">
      <c r="A20" t="s">
        <v>92</v>
      </c>
      <c r="B20" t="s">
        <v>141</v>
      </c>
      <c r="C20" t="s">
        <v>142</v>
      </c>
      <c r="D20" t="s">
        <v>45</v>
      </c>
      <c r="E20" s="2" t="s">
        <v>282</v>
      </c>
      <c r="F20" t="s">
        <v>143</v>
      </c>
    </row>
    <row r="21" spans="1:6" x14ac:dyDescent="0.25">
      <c r="A21" t="s">
        <v>126</v>
      </c>
      <c r="B21" t="s">
        <v>144</v>
      </c>
      <c r="C21" t="s">
        <v>145</v>
      </c>
      <c r="D21" t="s">
        <v>145</v>
      </c>
      <c r="E21" s="1" t="s">
        <v>283</v>
      </c>
      <c r="F21" t="s">
        <v>146</v>
      </c>
    </row>
    <row r="22" spans="1:6" x14ac:dyDescent="0.25">
      <c r="A22" t="s">
        <v>147</v>
      </c>
      <c r="B22" t="s">
        <v>148</v>
      </c>
      <c r="C22" t="s">
        <v>149</v>
      </c>
      <c r="D22" t="s">
        <v>149</v>
      </c>
      <c r="E22" s="2" t="s">
        <v>150</v>
      </c>
      <c r="F22" t="s">
        <v>150</v>
      </c>
    </row>
    <row r="23" spans="1:6" x14ac:dyDescent="0.25">
      <c r="A23" t="s">
        <v>92</v>
      </c>
      <c r="B23" t="s">
        <v>151</v>
      </c>
      <c r="C23" t="s">
        <v>42</v>
      </c>
      <c r="D23" t="s">
        <v>42</v>
      </c>
      <c r="E23" s="1" t="s">
        <v>152</v>
      </c>
      <c r="F23" t="s">
        <v>152</v>
      </c>
    </row>
    <row r="24" spans="1:6" x14ac:dyDescent="0.25">
      <c r="A24" t="s">
        <v>153</v>
      </c>
      <c r="B24" t="s">
        <v>154</v>
      </c>
      <c r="C24" t="s">
        <v>155</v>
      </c>
      <c r="D24" t="s">
        <v>155</v>
      </c>
      <c r="E24" s="2" t="s">
        <v>98</v>
      </c>
      <c r="F24" t="s">
        <v>156</v>
      </c>
    </row>
    <row r="25" spans="1:6" x14ac:dyDescent="0.25">
      <c r="A25" t="s">
        <v>126</v>
      </c>
      <c r="B25" t="s">
        <v>157</v>
      </c>
      <c r="C25" t="s">
        <v>158</v>
      </c>
      <c r="D25" t="s">
        <v>158</v>
      </c>
      <c r="E25" s="1" t="s">
        <v>279</v>
      </c>
      <c r="F25" t="s">
        <v>135</v>
      </c>
    </row>
    <row r="26" spans="1:6" x14ac:dyDescent="0.25">
      <c r="A26" t="s">
        <v>92</v>
      </c>
      <c r="B26" t="s">
        <v>159</v>
      </c>
      <c r="C26" t="s">
        <v>78</v>
      </c>
      <c r="D26" t="s">
        <v>78</v>
      </c>
      <c r="E26" s="2" t="s">
        <v>284</v>
      </c>
      <c r="F26" t="s">
        <v>160</v>
      </c>
    </row>
    <row r="27" spans="1:6" x14ac:dyDescent="0.25">
      <c r="A27" t="s">
        <v>147</v>
      </c>
      <c r="B27" t="s">
        <v>161</v>
      </c>
      <c r="C27" t="s">
        <v>162</v>
      </c>
      <c r="D27" t="s">
        <v>162</v>
      </c>
      <c r="E27" s="1" t="s">
        <v>150</v>
      </c>
      <c r="F27" t="s">
        <v>150</v>
      </c>
    </row>
    <row r="28" spans="1:6" x14ac:dyDescent="0.25">
      <c r="A28" t="s">
        <v>147</v>
      </c>
      <c r="B28" t="s">
        <v>163</v>
      </c>
      <c r="C28" t="s">
        <v>164</v>
      </c>
      <c r="D28" t="s">
        <v>164</v>
      </c>
      <c r="E28" s="2" t="s">
        <v>150</v>
      </c>
      <c r="F28" t="s">
        <v>150</v>
      </c>
    </row>
    <row r="29" spans="1:6" x14ac:dyDescent="0.25">
      <c r="A29" t="s">
        <v>92</v>
      </c>
      <c r="B29" t="s">
        <v>165</v>
      </c>
      <c r="C29" t="s">
        <v>166</v>
      </c>
      <c r="D29" t="s">
        <v>166</v>
      </c>
      <c r="E29" s="1" t="s">
        <v>96</v>
      </c>
      <c r="F29" t="s">
        <v>96</v>
      </c>
    </row>
    <row r="30" spans="1:6" x14ac:dyDescent="0.25">
      <c r="A30" t="s">
        <v>92</v>
      </c>
      <c r="B30" t="s">
        <v>167</v>
      </c>
      <c r="C30" t="s">
        <v>70</v>
      </c>
      <c r="D30" t="s">
        <v>70</v>
      </c>
      <c r="E30" s="2" t="s">
        <v>285</v>
      </c>
      <c r="F30" t="s">
        <v>168</v>
      </c>
    </row>
    <row r="31" spans="1:6" x14ac:dyDescent="0.25">
      <c r="A31" t="s">
        <v>126</v>
      </c>
      <c r="B31" t="s">
        <v>169</v>
      </c>
      <c r="C31" t="s">
        <v>98</v>
      </c>
      <c r="D31" t="s">
        <v>98</v>
      </c>
      <c r="E31" s="1" t="s">
        <v>286</v>
      </c>
      <c r="F31" t="s">
        <v>170</v>
      </c>
    </row>
    <row r="32" spans="1:6" x14ac:dyDescent="0.25">
      <c r="A32" t="s">
        <v>92</v>
      </c>
      <c r="B32" t="s">
        <v>171</v>
      </c>
      <c r="C32" t="s">
        <v>172</v>
      </c>
      <c r="D32" t="s">
        <v>172</v>
      </c>
      <c r="E32" s="2" t="s">
        <v>287</v>
      </c>
      <c r="F32" t="s">
        <v>173</v>
      </c>
    </row>
    <row r="33" spans="1:6" x14ac:dyDescent="0.25">
      <c r="A33" t="s">
        <v>126</v>
      </c>
      <c r="B33" t="s">
        <v>174</v>
      </c>
      <c r="C33" t="s">
        <v>175</v>
      </c>
      <c r="D33" t="s">
        <v>175</v>
      </c>
      <c r="E33" s="1" t="s">
        <v>98</v>
      </c>
      <c r="F33" t="s">
        <v>176</v>
      </c>
    </row>
    <row r="34" spans="1:6" x14ac:dyDescent="0.25">
      <c r="A34" t="s">
        <v>92</v>
      </c>
      <c r="B34" t="s">
        <v>177</v>
      </c>
      <c r="C34" t="s">
        <v>178</v>
      </c>
      <c r="D34" t="s">
        <v>178</v>
      </c>
      <c r="E34" s="2" t="s">
        <v>98</v>
      </c>
      <c r="F34" t="s">
        <v>179</v>
      </c>
    </row>
    <row r="35" spans="1:6" x14ac:dyDescent="0.25">
      <c r="A35" t="s">
        <v>92</v>
      </c>
      <c r="B35" t="s">
        <v>180</v>
      </c>
      <c r="C35" t="s">
        <v>49</v>
      </c>
      <c r="D35" t="s">
        <v>49</v>
      </c>
      <c r="E35" s="1" t="s">
        <v>288</v>
      </c>
      <c r="F35" t="s">
        <v>181</v>
      </c>
    </row>
    <row r="36" spans="1:6" x14ac:dyDescent="0.25">
      <c r="A36" t="s">
        <v>92</v>
      </c>
      <c r="B36" t="s">
        <v>182</v>
      </c>
      <c r="C36" t="s">
        <v>183</v>
      </c>
      <c r="D36" t="s">
        <v>183</v>
      </c>
      <c r="E36" s="2" t="s">
        <v>96</v>
      </c>
      <c r="F36" t="s">
        <v>96</v>
      </c>
    </row>
    <row r="37" spans="1:6" x14ac:dyDescent="0.25">
      <c r="A37" t="s">
        <v>92</v>
      </c>
      <c r="B37" t="s">
        <v>184</v>
      </c>
      <c r="C37" t="s">
        <v>185</v>
      </c>
      <c r="D37" t="s">
        <v>185</v>
      </c>
      <c r="E37" s="1" t="s">
        <v>186</v>
      </c>
      <c r="F37" t="s">
        <v>186</v>
      </c>
    </row>
    <row r="38" spans="1:6" x14ac:dyDescent="0.25">
      <c r="A38" t="s">
        <v>126</v>
      </c>
      <c r="B38" t="s">
        <v>187</v>
      </c>
      <c r="C38" t="s">
        <v>188</v>
      </c>
      <c r="D38" t="s">
        <v>188</v>
      </c>
      <c r="E38" s="2" t="s">
        <v>279</v>
      </c>
      <c r="F38" t="s">
        <v>135</v>
      </c>
    </row>
    <row r="39" spans="1:6" x14ac:dyDescent="0.25">
      <c r="A39" t="s">
        <v>126</v>
      </c>
      <c r="B39" t="s">
        <v>189</v>
      </c>
      <c r="C39" t="s">
        <v>190</v>
      </c>
      <c r="D39" t="s">
        <v>190</v>
      </c>
      <c r="E39" s="1" t="s">
        <v>279</v>
      </c>
      <c r="F39" t="s">
        <v>135</v>
      </c>
    </row>
    <row r="40" spans="1:6" x14ac:dyDescent="0.25">
      <c r="A40" t="s">
        <v>92</v>
      </c>
      <c r="B40" t="s">
        <v>15</v>
      </c>
      <c r="C40" t="s">
        <v>17</v>
      </c>
      <c r="D40" t="s">
        <v>17</v>
      </c>
      <c r="E40" s="2" t="s">
        <v>289</v>
      </c>
      <c r="F40" t="s">
        <v>191</v>
      </c>
    </row>
    <row r="41" spans="1:6" x14ac:dyDescent="0.25">
      <c r="A41" t="s">
        <v>92</v>
      </c>
      <c r="B41" t="s">
        <v>192</v>
      </c>
      <c r="C41" t="s">
        <v>193</v>
      </c>
      <c r="D41" t="s">
        <v>193</v>
      </c>
      <c r="E41" s="1" t="s">
        <v>98</v>
      </c>
      <c r="F41" t="s">
        <v>194</v>
      </c>
    </row>
    <row r="42" spans="1:6" x14ac:dyDescent="0.25">
      <c r="A42" t="s">
        <v>92</v>
      </c>
      <c r="B42" t="s">
        <v>195</v>
      </c>
      <c r="C42" t="s">
        <v>196</v>
      </c>
      <c r="D42" t="s">
        <v>196</v>
      </c>
      <c r="E42" s="2" t="s">
        <v>98</v>
      </c>
      <c r="F42" t="s">
        <v>197</v>
      </c>
    </row>
    <row r="43" spans="1:6" x14ac:dyDescent="0.25">
      <c r="A43" t="s">
        <v>92</v>
      </c>
      <c r="B43" t="s">
        <v>198</v>
      </c>
      <c r="C43" t="s">
        <v>199</v>
      </c>
      <c r="D43" t="s">
        <v>199</v>
      </c>
      <c r="E43" s="1" t="s">
        <v>98</v>
      </c>
      <c r="F43" t="s">
        <v>200</v>
      </c>
    </row>
    <row r="44" spans="1:6" x14ac:dyDescent="0.25">
      <c r="A44" t="s">
        <v>126</v>
      </c>
      <c r="B44" t="s">
        <v>201</v>
      </c>
      <c r="C44" t="s">
        <v>202</v>
      </c>
      <c r="D44" t="s">
        <v>202</v>
      </c>
      <c r="E44" s="2" t="s">
        <v>290</v>
      </c>
      <c r="F44" t="s">
        <v>203</v>
      </c>
    </row>
    <row r="45" spans="1:6" x14ac:dyDescent="0.25">
      <c r="A45" t="s">
        <v>204</v>
      </c>
      <c r="B45" t="s">
        <v>205</v>
      </c>
      <c r="C45" t="s">
        <v>206</v>
      </c>
      <c r="D45" t="s">
        <v>206</v>
      </c>
      <c r="E45" s="1" t="s">
        <v>291</v>
      </c>
      <c r="F45" t="s">
        <v>102</v>
      </c>
    </row>
    <row r="46" spans="1:6" x14ac:dyDescent="0.25">
      <c r="A46" t="s">
        <v>126</v>
      </c>
      <c r="B46" t="s">
        <v>207</v>
      </c>
      <c r="C46" t="s">
        <v>208</v>
      </c>
      <c r="D46" t="s">
        <v>208</v>
      </c>
      <c r="E46" s="2" t="s">
        <v>286</v>
      </c>
      <c r="F46" t="s">
        <v>170</v>
      </c>
    </row>
    <row r="47" spans="1:6" x14ac:dyDescent="0.25">
      <c r="A47" t="s">
        <v>92</v>
      </c>
      <c r="B47" t="s">
        <v>209</v>
      </c>
      <c r="C47" t="s">
        <v>63</v>
      </c>
      <c r="D47" t="s">
        <v>63</v>
      </c>
      <c r="E47" s="1" t="s">
        <v>292</v>
      </c>
      <c r="F47" t="s">
        <v>210</v>
      </c>
    </row>
    <row r="48" spans="1:6" x14ac:dyDescent="0.25">
      <c r="A48" t="s">
        <v>92</v>
      </c>
      <c r="B48" t="s">
        <v>211</v>
      </c>
      <c r="C48" t="s">
        <v>98</v>
      </c>
      <c r="D48" t="s">
        <v>98</v>
      </c>
      <c r="E48" s="2" t="s">
        <v>98</v>
      </c>
      <c r="F48" t="s">
        <v>212</v>
      </c>
    </row>
    <row r="49" spans="1:6" x14ac:dyDescent="0.25">
      <c r="A49" t="s">
        <v>92</v>
      </c>
      <c r="B49" t="s">
        <v>213</v>
      </c>
      <c r="C49" t="s">
        <v>36</v>
      </c>
      <c r="D49" t="s">
        <v>36</v>
      </c>
      <c r="E49" s="1" t="s">
        <v>125</v>
      </c>
      <c r="F49" t="s">
        <v>214</v>
      </c>
    </row>
    <row r="50" spans="1:6" x14ac:dyDescent="0.25">
      <c r="A50" t="s">
        <v>92</v>
      </c>
      <c r="B50" t="s">
        <v>215</v>
      </c>
      <c r="C50" t="s">
        <v>216</v>
      </c>
      <c r="D50" t="s">
        <v>216</v>
      </c>
      <c r="E50" s="2" t="s">
        <v>217</v>
      </c>
      <c r="F50" t="s">
        <v>217</v>
      </c>
    </row>
    <row r="51" spans="1:6" x14ac:dyDescent="0.25">
      <c r="A51" t="s">
        <v>92</v>
      </c>
      <c r="B51" t="s">
        <v>218</v>
      </c>
      <c r="C51" t="s">
        <v>8</v>
      </c>
      <c r="D51" t="s">
        <v>8</v>
      </c>
      <c r="E51" s="1" t="s">
        <v>152</v>
      </c>
      <c r="F51" t="s">
        <v>152</v>
      </c>
    </row>
    <row r="52" spans="1:6" x14ac:dyDescent="0.25">
      <c r="A52" t="s">
        <v>92</v>
      </c>
      <c r="B52" t="s">
        <v>219</v>
      </c>
      <c r="C52" t="s">
        <v>14</v>
      </c>
      <c r="D52" t="s">
        <v>14</v>
      </c>
      <c r="E52" s="2" t="s">
        <v>293</v>
      </c>
      <c r="F52" t="s">
        <v>220</v>
      </c>
    </row>
    <row r="53" spans="1:6" x14ac:dyDescent="0.25">
      <c r="A53" t="s">
        <v>126</v>
      </c>
      <c r="B53" t="s">
        <v>221</v>
      </c>
      <c r="C53" t="s">
        <v>222</v>
      </c>
      <c r="D53" t="s">
        <v>222</v>
      </c>
      <c r="E53" s="1" t="s">
        <v>279</v>
      </c>
      <c r="F53" t="s">
        <v>223</v>
      </c>
    </row>
    <row r="54" spans="1:6" x14ac:dyDescent="0.25">
      <c r="A54" t="s">
        <v>92</v>
      </c>
      <c r="B54" t="s">
        <v>224</v>
      </c>
      <c r="C54" t="s">
        <v>39</v>
      </c>
      <c r="D54" t="s">
        <v>39</v>
      </c>
      <c r="E54" s="2" t="s">
        <v>294</v>
      </c>
      <c r="F54" t="s">
        <v>225</v>
      </c>
    </row>
    <row r="55" spans="1:6" x14ac:dyDescent="0.25">
      <c r="A55" t="s">
        <v>92</v>
      </c>
      <c r="B55" t="s">
        <v>226</v>
      </c>
      <c r="C55" t="s">
        <v>52</v>
      </c>
      <c r="D55" t="s">
        <v>52</v>
      </c>
      <c r="E55" s="1" t="s">
        <v>227</v>
      </c>
      <c r="F55" t="s">
        <v>227</v>
      </c>
    </row>
    <row r="56" spans="1:6" x14ac:dyDescent="0.25">
      <c r="A56" t="s">
        <v>92</v>
      </c>
      <c r="B56" t="s">
        <v>228</v>
      </c>
      <c r="C56" t="s">
        <v>229</v>
      </c>
      <c r="D56" t="s">
        <v>229</v>
      </c>
      <c r="E56" s="2" t="s">
        <v>295</v>
      </c>
      <c r="F56" t="s">
        <v>230</v>
      </c>
    </row>
    <row r="57" spans="1:6" x14ac:dyDescent="0.25">
      <c r="A57" t="s">
        <v>92</v>
      </c>
      <c r="B57" t="s">
        <v>231</v>
      </c>
      <c r="C57" t="s">
        <v>83</v>
      </c>
      <c r="D57" t="s">
        <v>83</v>
      </c>
      <c r="E57" s="1" t="s">
        <v>296</v>
      </c>
      <c r="F57" t="s">
        <v>232</v>
      </c>
    </row>
    <row r="58" spans="1:6" x14ac:dyDescent="0.25">
      <c r="A58" t="s">
        <v>126</v>
      </c>
      <c r="B58" t="s">
        <v>233</v>
      </c>
      <c r="C58" t="s">
        <v>234</v>
      </c>
      <c r="D58" t="s">
        <v>234</v>
      </c>
      <c r="E58" s="2" t="s">
        <v>286</v>
      </c>
      <c r="F58" t="s">
        <v>170</v>
      </c>
    </row>
    <row r="59" spans="1:6" x14ac:dyDescent="0.25">
      <c r="A59" t="s">
        <v>126</v>
      </c>
      <c r="B59" t="s">
        <v>235</v>
      </c>
      <c r="C59" t="s">
        <v>236</v>
      </c>
      <c r="D59" t="s">
        <v>236</v>
      </c>
      <c r="E59" s="1" t="s">
        <v>286</v>
      </c>
      <c r="F59" t="s">
        <v>170</v>
      </c>
    </row>
    <row r="60" spans="1:6" x14ac:dyDescent="0.25">
      <c r="A60" t="s">
        <v>126</v>
      </c>
      <c r="B60" t="s">
        <v>237</v>
      </c>
      <c r="C60" t="s">
        <v>238</v>
      </c>
      <c r="D60" t="s">
        <v>238</v>
      </c>
      <c r="E60" s="2" t="s">
        <v>279</v>
      </c>
      <c r="F60" t="s">
        <v>135</v>
      </c>
    </row>
    <row r="61" spans="1:6" x14ac:dyDescent="0.25">
      <c r="A61" t="s">
        <v>92</v>
      </c>
      <c r="B61" t="s">
        <v>239</v>
      </c>
      <c r="C61" t="s">
        <v>240</v>
      </c>
      <c r="D61" t="s">
        <v>240</v>
      </c>
      <c r="E61" s="1" t="s">
        <v>297</v>
      </c>
      <c r="F61" t="s">
        <v>241</v>
      </c>
    </row>
    <row r="62" spans="1:6" x14ac:dyDescent="0.25">
      <c r="A62" t="s">
        <v>92</v>
      </c>
      <c r="B62" t="s">
        <v>242</v>
      </c>
      <c r="C62" t="s">
        <v>243</v>
      </c>
      <c r="D62" t="s">
        <v>243</v>
      </c>
      <c r="E62" s="2" t="s">
        <v>298</v>
      </c>
      <c r="F62" t="s">
        <v>244</v>
      </c>
    </row>
    <row r="63" spans="1:6" x14ac:dyDescent="0.25">
      <c r="A63" t="s">
        <v>92</v>
      </c>
      <c r="B63" t="s">
        <v>245</v>
      </c>
      <c r="C63" t="s">
        <v>246</v>
      </c>
      <c r="D63" t="s">
        <v>246</v>
      </c>
      <c r="E63" s="1" t="s">
        <v>296</v>
      </c>
      <c r="F63" t="s">
        <v>232</v>
      </c>
    </row>
    <row r="64" spans="1:6" x14ac:dyDescent="0.25">
      <c r="A64" t="s">
        <v>126</v>
      </c>
      <c r="B64" t="s">
        <v>247</v>
      </c>
      <c r="C64" t="s">
        <v>248</v>
      </c>
      <c r="D64" t="s">
        <v>248</v>
      </c>
      <c r="E64" s="2" t="s">
        <v>286</v>
      </c>
      <c r="F64" t="s">
        <v>249</v>
      </c>
    </row>
    <row r="65" spans="1:6" x14ac:dyDescent="0.25">
      <c r="A65" t="s">
        <v>126</v>
      </c>
      <c r="B65" t="s">
        <v>250</v>
      </c>
      <c r="C65" t="s">
        <v>251</v>
      </c>
      <c r="D65" t="s">
        <v>251</v>
      </c>
      <c r="E65" s="1" t="s">
        <v>290</v>
      </c>
      <c r="F65" t="s">
        <v>99</v>
      </c>
    </row>
    <row r="66" spans="1:6" x14ac:dyDescent="0.25">
      <c r="A66" t="s">
        <v>92</v>
      </c>
      <c r="B66" t="s">
        <v>252</v>
      </c>
      <c r="C66" t="s">
        <v>253</v>
      </c>
      <c r="D66" t="s">
        <v>253</v>
      </c>
      <c r="E66" s="2" t="s">
        <v>299</v>
      </c>
      <c r="F66" t="s">
        <v>254</v>
      </c>
    </row>
    <row r="67" spans="1:6" x14ac:dyDescent="0.25">
      <c r="A67" t="s">
        <v>92</v>
      </c>
      <c r="B67" t="s">
        <v>255</v>
      </c>
      <c r="C67" t="s">
        <v>2</v>
      </c>
      <c r="D67" t="s">
        <v>2</v>
      </c>
      <c r="E67" s="1" t="s">
        <v>300</v>
      </c>
      <c r="F67" t="s">
        <v>256</v>
      </c>
    </row>
    <row r="68" spans="1:6" x14ac:dyDescent="0.25">
      <c r="A68" t="s">
        <v>92</v>
      </c>
      <c r="B68" t="s">
        <v>257</v>
      </c>
      <c r="C68" t="s">
        <v>258</v>
      </c>
      <c r="D68" t="s">
        <v>258</v>
      </c>
      <c r="E68" s="2" t="s">
        <v>179</v>
      </c>
      <c r="F68" t="s">
        <v>259</v>
      </c>
    </row>
    <row r="69" spans="1:6" x14ac:dyDescent="0.25">
      <c r="A69" t="s">
        <v>92</v>
      </c>
      <c r="B69" t="s">
        <v>260</v>
      </c>
      <c r="C69" t="s">
        <v>98</v>
      </c>
      <c r="D69" t="s">
        <v>98</v>
      </c>
      <c r="E69" s="1" t="s">
        <v>261</v>
      </c>
      <c r="F69" t="s">
        <v>261</v>
      </c>
    </row>
    <row r="70" spans="1:6" x14ac:dyDescent="0.25">
      <c r="A70" t="s">
        <v>92</v>
      </c>
      <c r="B70" t="s">
        <v>262</v>
      </c>
      <c r="C70" t="s">
        <v>263</v>
      </c>
      <c r="D70" t="s">
        <v>263</v>
      </c>
      <c r="E70" s="2" t="s">
        <v>217</v>
      </c>
      <c r="F70" t="s">
        <v>217</v>
      </c>
    </row>
    <row r="71" spans="1:6" x14ac:dyDescent="0.25">
      <c r="A71" t="s">
        <v>92</v>
      </c>
      <c r="B71" t="s">
        <v>264</v>
      </c>
      <c r="C71" t="s">
        <v>66</v>
      </c>
      <c r="D71" t="s">
        <v>66</v>
      </c>
      <c r="E71" s="1" t="s">
        <v>301</v>
      </c>
      <c r="F71" t="s">
        <v>265</v>
      </c>
    </row>
    <row r="72" spans="1:6" x14ac:dyDescent="0.25">
      <c r="A72" t="s">
        <v>92</v>
      </c>
      <c r="B72" t="s">
        <v>266</v>
      </c>
      <c r="C72" t="s">
        <v>267</v>
      </c>
      <c r="D72" t="s">
        <v>267</v>
      </c>
      <c r="E72" s="2" t="s">
        <v>98</v>
      </c>
      <c r="F72" t="s">
        <v>268</v>
      </c>
    </row>
    <row r="73" spans="1:6" x14ac:dyDescent="0.25">
      <c r="A73" t="s">
        <v>92</v>
      </c>
      <c r="B73" t="s">
        <v>269</v>
      </c>
      <c r="C73" t="s">
        <v>23</v>
      </c>
      <c r="D73" t="s">
        <v>23</v>
      </c>
      <c r="E73" s="1" t="s">
        <v>270</v>
      </c>
      <c r="F73" t="s">
        <v>270</v>
      </c>
    </row>
    <row r="74" spans="1:6" x14ac:dyDescent="0.25">
      <c r="A74" t="s">
        <v>92</v>
      </c>
      <c r="B74" t="s">
        <v>271</v>
      </c>
      <c r="C74" t="s">
        <v>272</v>
      </c>
      <c r="D74" t="s">
        <v>272</v>
      </c>
      <c r="E74" t="s">
        <v>217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26ba123-f524-4edb-8ec0-4fe5ac767d3b}" enabled="1" method="Privileged" siteId="{8b86a65e-3c3a-4406-8ac3-19a6b5cc52b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Yusuf, Yudha Cipta Maulana</dc:creator>
  <cp:lastModifiedBy>Yusuf, Yudha Cipta Maulana</cp:lastModifiedBy>
  <dcterms:created xsi:type="dcterms:W3CDTF">2026-04-14T12:11:41Z</dcterms:created>
  <dcterms:modified xsi:type="dcterms:W3CDTF">2026-04-14T15:19:14Z</dcterms:modified>
</cp:coreProperties>
</file>